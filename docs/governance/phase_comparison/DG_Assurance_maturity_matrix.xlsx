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Executive Summary" sheetId="1" state="visible" r:id="rId1"/>
    <sheet xmlns:r="http://schemas.openxmlformats.org/officeDocument/2006/relationships" name="🔍 Detailed Diff" sheetId="2" state="visible" r:id="rId2"/>
    <sheet xmlns:r="http://schemas.openxmlformats.org/officeDocument/2006/relationships" name="📈 Score Dashboard" sheetId="3" state="visible" r:id="rId3"/>
    <sheet xmlns:r="http://schemas.openxmlformats.org/officeDocument/2006/relationships" name="🔧 Fix Regi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5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90CAF9"/>
      <sz val="12"/>
    </font>
    <font>
      <name val="Calibri"/>
      <b val="1"/>
      <color rgb="00FFFFFF"/>
      <sz val="13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2196F3"/>
      <sz val="10"/>
    </font>
    <font>
      <name val="Calibri"/>
      <color rgb="00000000"/>
      <sz val="10"/>
    </font>
    <font>
      <name val="Calibri"/>
      <b val="1"/>
      <color rgb="00000000"/>
      <sz val="11"/>
    </font>
    <font>
      <name val="Calibri"/>
      <b val="1"/>
      <color rgb="001B5E20"/>
      <sz val="10"/>
    </font>
    <font>
      <name val="Calibri"/>
      <b val="1"/>
      <color rgb="00000000"/>
      <sz val="10"/>
    </font>
    <font>
      <name val="Calibri"/>
      <i val="1"/>
      <color rgb="00374151"/>
      <sz val="9"/>
    </font>
    <font>
      <name val="Calibri"/>
      <b val="1"/>
      <color rgb="007C4F00"/>
      <sz val="10"/>
    </font>
    <font>
      <name val="Calibri"/>
      <color rgb="000D47A1"/>
      <sz val="9"/>
    </font>
    <font>
      <name val="Calibri"/>
      <b val="1"/>
      <color rgb="007F0000"/>
      <sz val="10"/>
    </font>
    <font>
      <name val="Calibri"/>
      <b val="1"/>
      <color rgb="00FFFFFF"/>
      <sz val="11"/>
    </font>
    <font>
      <name val="Calibri"/>
      <i val="1"/>
      <color rgb="006B7280"/>
      <sz val="9"/>
    </font>
    <font>
      <name val="Calibri"/>
      <b val="1"/>
      <color rgb="00FFFFFF"/>
      <sz val="16"/>
    </font>
    <font>
      <name val="Calibri"/>
      <i val="1"/>
      <color rgb="0090CAF9"/>
      <sz val="11"/>
    </font>
    <font>
      <name val="Calibri"/>
      <b val="1"/>
      <color rgb="002196F3"/>
      <sz val="9"/>
    </font>
    <font>
      <name val="Calibri"/>
      <b val="1"/>
      <color rgb="000D47A1"/>
      <sz val="9"/>
    </font>
    <font>
      <name val="Calibri"/>
      <color rgb="007F0000"/>
      <sz val="9"/>
    </font>
    <font>
      <name val="Calibri"/>
      <color rgb="001B5E20"/>
      <sz val="9"/>
    </font>
    <font>
      <name val="Calibri"/>
      <b val="1"/>
      <color rgb="001B5E20"/>
      <sz val="11"/>
    </font>
    <font>
      <name val="Calibri"/>
      <b val="1"/>
      <color rgb="007C4F00"/>
      <sz val="11"/>
    </font>
    <font>
      <name val="Calibri"/>
      <b val="1"/>
      <color rgb="007F0000"/>
      <sz val="11"/>
    </font>
    <font>
      <name val="Calibri"/>
      <b val="1"/>
      <color rgb="00FFFFFF"/>
      <sz val="14"/>
    </font>
    <font>
      <name val="Calibri"/>
      <b val="1"/>
      <color rgb="00000000"/>
      <sz val="9"/>
    </font>
    <font>
      <name val="Calibri"/>
      <b val="1"/>
      <color rgb="000D47A1"/>
      <sz val="10"/>
    </font>
    <font>
      <name val="Calibri"/>
      <color rgb="00000000"/>
      <sz val="9"/>
    </font>
    <font>
      <name val="Calibri"/>
      <b val="1"/>
      <color rgb="001B5E20"/>
      <sz val="9"/>
    </font>
    <font>
      <name val="Calibri"/>
      <b val="1"/>
      <color rgb="00827717"/>
      <sz val="9"/>
    </font>
    <font>
      <name val="Calibri"/>
      <b val="1"/>
      <color rgb="00880E4F"/>
      <sz val="9"/>
    </font>
    <font>
      <name val="Calibri"/>
      <color rgb="00FFFFFF"/>
      <sz val="10"/>
    </font>
  </fonts>
  <fills count="1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3A5C"/>
      </patternFill>
    </fill>
    <fill>
      <patternFill patternType="solid">
        <fgColor rgb="0000695C"/>
      </patternFill>
    </fill>
    <fill>
      <patternFill patternType="solid">
        <fgColor rgb="001565C0"/>
      </patternFill>
    </fill>
    <fill>
      <patternFill patternType="solid">
        <fgColor rgb="00F5F7FA"/>
      </patternFill>
    </fill>
    <fill>
      <patternFill patternType="solid">
        <fgColor rgb="00E6F4EA"/>
      </patternFill>
    </fill>
    <fill>
      <patternFill patternType="solid">
        <fgColor rgb="00FFFFFF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FFEBEE"/>
      </patternFill>
    </fill>
    <fill>
      <patternFill patternType="solid">
        <fgColor rgb="0000897B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CE4EC"/>
      </patternFill>
    </fill>
  </fills>
  <borders count="4">
    <border>
      <left/>
      <right/>
      <top/>
      <bottom/>
      <diagonal/>
    </border>
    <border>
      <left style="thin">
        <color rgb="001E3A5F"/>
      </left>
      <right style="thin">
        <color rgb="001E3A5F"/>
      </right>
      <top style="thin">
        <color rgb="001E3A5F"/>
      </top>
      <bottom style="thin">
        <color rgb="001E3A5F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CBD5E1"/>
      </left>
      <right style="medium">
        <color rgb="00CBD5E1"/>
      </right>
      <top style="medium">
        <color rgb="00CBD5E1"/>
      </top>
      <bottom style="medium">
        <color rgb="00CBD5E1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left" vertical="center" wrapText="1"/>
    </xf>
    <xf numFmtId="0" fontId="9" fillId="8" borderId="2" applyAlignment="1" pivotButton="0" quotePrefix="0" xfId="0">
      <alignment horizontal="center" vertical="center" wrapText="1"/>
    </xf>
    <xf numFmtId="0" fontId="13" fillId="9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14" fillId="10" borderId="2" applyAlignment="1" pivotButton="0" quotePrefix="0" xfId="0">
      <alignment horizontal="left" vertical="center" wrapText="1"/>
    </xf>
    <xf numFmtId="0" fontId="11" fillId="8" borderId="2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center" vertical="center" wrapText="1"/>
    </xf>
    <xf numFmtId="0" fontId="15" fillId="11" borderId="2" applyAlignment="1" pivotButton="0" quotePrefix="0" xfId="0">
      <alignment horizontal="center" vertical="center" wrapText="1"/>
    </xf>
    <xf numFmtId="0" fontId="16" fillId="3" borderId="3" applyAlignment="1" pivotButton="0" quotePrefix="0" xfId="0">
      <alignment horizontal="center" vertical="center" wrapText="1"/>
    </xf>
    <xf numFmtId="0" fontId="16" fillId="12" borderId="3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 wrapText="1"/>
    </xf>
    <xf numFmtId="0" fontId="18" fillId="2" borderId="0" applyAlignment="1" pivotButton="0" quotePrefix="0" xfId="0">
      <alignment horizontal="center" vertical="center" wrapText="1"/>
    </xf>
    <xf numFmtId="0" fontId="19" fillId="3" borderId="0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20" fillId="8" borderId="2" applyAlignment="1" pivotButton="0" quotePrefix="0" xfId="0">
      <alignment horizontal="left" vertical="center" wrapText="1"/>
    </xf>
    <xf numFmtId="0" fontId="21" fillId="10" borderId="2" applyAlignment="1" pivotButton="0" quotePrefix="0" xfId="0">
      <alignment horizontal="center" vertical="center" wrapText="1"/>
    </xf>
    <xf numFmtId="0" fontId="22" fillId="11" borderId="2" applyAlignment="1" pivotButton="0" quotePrefix="0" xfId="0">
      <alignment horizontal="left" vertical="center" wrapText="1"/>
    </xf>
    <xf numFmtId="0" fontId="23" fillId="7" borderId="2" applyAlignment="1" pivotButton="0" quotePrefix="0" xfId="0">
      <alignment horizontal="left" vertical="center" wrapText="1"/>
    </xf>
    <xf numFmtId="0" fontId="20" fillId="6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24" fillId="7" borderId="2" applyAlignment="1" pivotButton="0" quotePrefix="0" xfId="0">
      <alignment horizontal="center" vertical="center" wrapText="1"/>
    </xf>
    <xf numFmtId="0" fontId="25" fillId="9" borderId="2" applyAlignment="1" pivotButton="0" quotePrefix="0" xfId="0">
      <alignment horizontal="center" vertical="center" wrapText="1"/>
    </xf>
    <xf numFmtId="0" fontId="26" fillId="11" borderId="2" applyAlignment="1" pivotButton="0" quotePrefix="0" xfId="0">
      <alignment horizontal="center" vertical="center" wrapText="1"/>
    </xf>
    <xf numFmtId="0" fontId="16" fillId="2" borderId="2" applyAlignment="1" pivotButton="0" quotePrefix="0" xfId="0">
      <alignment horizontal="center" vertical="center" wrapText="1"/>
    </xf>
    <xf numFmtId="0" fontId="27" fillId="3" borderId="2" applyAlignment="1" pivotButton="0" quotePrefix="0" xfId="0">
      <alignment horizontal="center" vertical="center" wrapText="1"/>
    </xf>
    <xf numFmtId="0" fontId="16" fillId="12" borderId="2" applyAlignment="1" pivotButton="0" quotePrefix="0" xfId="0">
      <alignment horizontal="center" vertical="center" wrapText="1"/>
    </xf>
    <xf numFmtId="0" fontId="27" fillId="12" borderId="2" applyAlignment="1" pivotButton="0" quotePrefix="0" xfId="0">
      <alignment horizontal="center" vertical="center" wrapText="1"/>
    </xf>
    <xf numFmtId="0" fontId="28" fillId="0" borderId="0" pivotButton="0" quotePrefix="0" xfId="0"/>
    <xf numFmtId="0" fontId="29" fillId="10" borderId="2" applyAlignment="1" pivotButton="0" quotePrefix="0" xfId="0">
      <alignment horizontal="center" vertical="center" wrapText="1"/>
    </xf>
    <xf numFmtId="0" fontId="30" fillId="8" borderId="2" applyAlignment="1" pivotButton="0" quotePrefix="0" xfId="0">
      <alignment horizontal="left" vertical="center" wrapText="1"/>
    </xf>
    <xf numFmtId="0" fontId="31" fillId="13" borderId="2" applyAlignment="1" pivotButton="0" quotePrefix="0" xfId="0">
      <alignment horizontal="center" vertical="center" wrapText="1"/>
    </xf>
    <xf numFmtId="0" fontId="30" fillId="6" borderId="2" applyAlignment="1" pivotButton="0" quotePrefix="0" xfId="0">
      <alignment horizontal="left" vertical="center" wrapText="1"/>
    </xf>
    <xf numFmtId="0" fontId="32" fillId="14" borderId="2" applyAlignment="1" pivotButton="0" quotePrefix="0" xfId="0">
      <alignment horizontal="center" vertical="center" wrapText="1"/>
    </xf>
    <xf numFmtId="0" fontId="33" fillId="15" borderId="2" applyAlignment="1" pivotButton="0" quotePrefix="0" xfId="0">
      <alignment horizontal="center" vertical="center" wrapText="1"/>
    </xf>
    <xf numFmtId="0" fontId="34" fillId="1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Phase 01 vs Phase 02 — Score per OWASP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Score Dashboard'!I16</f>
            </strRef>
          </tx>
          <spPr>
            <a:solidFill xmlns:a="http://schemas.openxmlformats.org/drawingml/2006/main">
              <a:srgbClr val="1B3A5C"/>
            </a:solidFill>
            <a:ln xmlns:a="http://schemas.openxmlformats.org/drawingml/2006/main">
              <a:prstDash val="solid"/>
            </a:ln>
          </spPr>
          <cat>
            <numRef>
              <f>'📈 Score Dashboard'!$H$17:$H$26</f>
            </numRef>
          </cat>
          <val>
            <numRef>
              <f>'📈 Score Dashboard'!$I$17:$I$26</f>
            </numRef>
          </val>
        </ser>
        <ser>
          <idx val="1"/>
          <order val="1"/>
          <tx>
            <strRef>
              <f>'📈 Score Dashboard'!J16</f>
            </strRef>
          </tx>
          <spPr>
            <a:solidFill xmlns:a="http://schemas.openxmlformats.org/drawingml/2006/main">
              <a:srgbClr val="00897B"/>
            </a:solidFill>
            <a:ln xmlns:a="http://schemas.openxmlformats.org/drawingml/2006/main">
              <a:prstDash val="solid"/>
            </a:ln>
          </spPr>
          <cat>
            <numRef>
              <f>'📈 Score Dashboard'!$H$17:$H$26</f>
            </numRef>
          </cat>
          <val>
            <numRef>
              <f>'📈 Score Dashboard'!$J$17:$J$26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OWASP LLM 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(max 10)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15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32" customWidth="1" min="3" max="3"/>
    <col width="14" customWidth="1" min="4" max="4"/>
    <col width="14" customWidth="1" min="5" max="5"/>
    <col width="16" customWidth="1" min="6" max="6"/>
    <col width="16" customWidth="1" min="7" max="7"/>
    <col width="36" customWidth="1" min="8" max="8"/>
  </cols>
  <sheetData>
    <row r="1" ht="10" customHeight="1"/>
    <row r="2" ht="38" customHeight="1">
      <c r="B2" s="1" t="inlineStr">
        <is>
          <t>DEV GUARDIAN — PHASE COMPARISON REPORT</t>
        </is>
      </c>
    </row>
    <row r="3" ht="22" customHeight="1">
      <c r="B3" s="2" t="inlineStr">
        <is>
          <t>OWASP LLM Top 10 · Phase 01 vs Phase 02 · Urielle AI Audit · AISB Singapore 2026</t>
        </is>
      </c>
    </row>
    <row r="4" ht="10" customHeight="1"/>
    <row r="5" ht="50" customHeight="1">
      <c r="B5" s="3" t="inlineStr">
        <is>
          <t>PHASE 01
Score: 72 / 100
6 PASS · 3 PARTIAL · 1 FAIL</t>
        </is>
      </c>
      <c r="D5" s="4" t="inlineStr">
        <is>
          <t>PHASE 02 (Target)
Score: 90+ / 100
9 PASS · 1 PARTIAL · 0 FAIL</t>
        </is>
      </c>
      <c r="F5" s="5" t="inlineStr">
        <is>
          <t>6 Code Fixes Applied
LLM02 · LLM07 · LLM09 · LLM10
+ JSON Bug + MAX_TOKENS + Guardrails</t>
        </is>
      </c>
    </row>
    <row r="6" ht="10" customHeight="1"/>
    <row r="7" ht="30" customHeight="1">
      <c r="B7" s="6" t="inlineStr">
        <is>
          <t>#</t>
        </is>
      </c>
      <c r="C7" s="6" t="inlineStr">
        <is>
          <t>OWASP ID</t>
        </is>
      </c>
      <c r="D7" s="6" t="inlineStr">
        <is>
          <t>Category</t>
        </is>
      </c>
      <c r="E7" s="6" t="inlineStr">
        <is>
          <t>Ph01 Count</t>
        </is>
      </c>
      <c r="F7" s="6" t="inlineStr">
        <is>
          <t>Ph01 Status</t>
        </is>
      </c>
      <c r="G7" s="6" t="inlineStr">
        <is>
          <t>Ph02 Count</t>
        </is>
      </c>
      <c r="H7" s="6" t="inlineStr">
        <is>
          <t>Ph02 Status</t>
        </is>
      </c>
      <c r="I7" s="6" t="inlineStr">
        <is>
          <t>Fix Applied in Phase 02</t>
        </is>
      </c>
    </row>
    <row r="8" ht="34" customHeight="1">
      <c r="B8" s="7" t="n">
        <v>1</v>
      </c>
      <c r="C8" s="8" t="inlineStr">
        <is>
          <t>LLM01</t>
        </is>
      </c>
      <c r="D8" s="9" t="inlineStr">
        <is>
          <t>Prompt Injection</t>
        </is>
      </c>
      <c r="E8" s="10" t="n">
        <v>5</v>
      </c>
      <c r="F8" s="11" t="inlineStr">
        <is>
          <t>✅ PASS</t>
        </is>
      </c>
      <c r="G8" s="12" t="inlineStr">
        <is>
          <t>5</t>
        </is>
      </c>
      <c r="H8" s="11" t="inlineStr">
        <is>
          <t>✅ PASS</t>
        </is>
      </c>
      <c r="I8" s="13" t="inlineStr">
        <is>
          <t>No change needed — already 5/4</t>
        </is>
      </c>
    </row>
    <row r="9" ht="34" customHeight="1">
      <c r="B9" s="14" t="n">
        <v>2</v>
      </c>
      <c r="C9" s="15" t="inlineStr">
        <is>
          <t>LLM02</t>
        </is>
      </c>
      <c r="D9" s="16" t="inlineStr">
        <is>
          <t>Sensitive Info Disclosure</t>
        </is>
      </c>
      <c r="E9" s="17" t="n">
        <v>4</v>
      </c>
      <c r="F9" s="18" t="inlineStr">
        <is>
          <t>⚠ PARTIAL</t>
        </is>
      </c>
      <c r="G9" s="19" t="inlineStr">
        <is>
          <t>6  (+2 ▲)</t>
        </is>
      </c>
      <c r="H9" s="11" t="inlineStr">
        <is>
          <t>✅ PASS</t>
        </is>
      </c>
      <c r="I9" s="20" t="inlineStr">
        <is>
          <t>Added card/CVV logging + PII-to-LLM rules in SECURITY_INSTRUCTIONS</t>
        </is>
      </c>
    </row>
    <row r="10" ht="34" customHeight="1">
      <c r="B10" s="7" t="n">
        <v>3</v>
      </c>
      <c r="C10" s="8" t="inlineStr">
        <is>
          <t>LLM03</t>
        </is>
      </c>
      <c r="D10" s="9" t="inlineStr">
        <is>
          <t>Supply Chain Vulnerabilities</t>
        </is>
      </c>
      <c r="E10" s="10" t="n">
        <v>8</v>
      </c>
      <c r="F10" s="11" t="inlineStr">
        <is>
          <t>✅ PASS</t>
        </is>
      </c>
      <c r="G10" s="12" t="inlineStr">
        <is>
          <t>8</t>
        </is>
      </c>
      <c r="H10" s="11" t="inlineStr">
        <is>
          <t>✅ PASS</t>
        </is>
      </c>
      <c r="I10" s="13" t="inlineStr">
        <is>
          <t>No change needed — already 8/4</t>
        </is>
      </c>
    </row>
    <row r="11" ht="34" customHeight="1">
      <c r="B11" s="14" t="n">
        <v>4</v>
      </c>
      <c r="C11" s="15" t="inlineStr">
        <is>
          <t>LLM04</t>
        </is>
      </c>
      <c r="D11" s="16" t="inlineStr">
        <is>
          <t>Data &amp; Model Poisoning</t>
        </is>
      </c>
      <c r="E11" s="17" t="n">
        <v>2</v>
      </c>
      <c r="F11" s="11" t="inlineStr">
        <is>
          <t>✅ PASS</t>
        </is>
      </c>
      <c r="G11" s="21" t="inlineStr">
        <is>
          <t>2</t>
        </is>
      </c>
      <c r="H11" s="11" t="inlineStr">
        <is>
          <t>✅ PASS</t>
        </is>
      </c>
      <c r="I11" s="20" t="inlineStr">
        <is>
          <t>JSON export bug fixed in api_server.py (sentinel token fix)</t>
        </is>
      </c>
    </row>
    <row r="12" ht="34" customHeight="1">
      <c r="B12" s="7" t="n">
        <v>5</v>
      </c>
      <c r="C12" s="8" t="inlineStr">
        <is>
          <t>LLM05</t>
        </is>
      </c>
      <c r="D12" s="9" t="inlineStr">
        <is>
          <t>Improper Output Handling</t>
        </is>
      </c>
      <c r="E12" s="10" t="n">
        <v>3</v>
      </c>
      <c r="F12" s="11" t="inlineStr">
        <is>
          <t>✅ PASS</t>
        </is>
      </c>
      <c r="G12" s="12" t="inlineStr">
        <is>
          <t>3</t>
        </is>
      </c>
      <c r="H12" s="11" t="inlineStr">
        <is>
          <t>✅ PASS</t>
        </is>
      </c>
      <c r="I12" s="13" t="inlineStr">
        <is>
          <t>No change needed — exec() + os.system() both caught</t>
        </is>
      </c>
    </row>
    <row r="13" ht="34" customHeight="1">
      <c r="B13" s="14" t="n">
        <v>6</v>
      </c>
      <c r="C13" s="15" t="inlineStr">
        <is>
          <t>LLM06</t>
        </is>
      </c>
      <c r="D13" s="16" t="inlineStr">
        <is>
          <t>Excessive Agency</t>
        </is>
      </c>
      <c r="E13" s="17" t="n">
        <v>2</v>
      </c>
      <c r="F13" s="11" t="inlineStr">
        <is>
          <t>✅ PASS</t>
        </is>
      </c>
      <c r="G13" s="21" t="inlineStr">
        <is>
          <t>2</t>
        </is>
      </c>
      <c r="H13" s="11" t="inlineStr">
        <is>
          <t>✅ PASS</t>
        </is>
      </c>
      <c r="I13" s="22" t="inlineStr">
        <is>
          <t>No change needed — governance risk recognised</t>
        </is>
      </c>
    </row>
    <row r="14" ht="34" customHeight="1">
      <c r="B14" s="7" t="n">
        <v>7</v>
      </c>
      <c r="C14" s="8" t="inlineStr">
        <is>
          <t>LLM07</t>
        </is>
      </c>
      <c r="D14" s="9" t="inlineStr">
        <is>
          <t>System Prompt Leakage</t>
        </is>
      </c>
      <c r="E14" s="10" t="n">
        <v>1</v>
      </c>
      <c r="F14" s="18" t="inlineStr">
        <is>
          <t>⚠ PARTIAL</t>
        </is>
      </c>
      <c r="G14" s="23" t="inlineStr">
        <is>
          <t>4  (+3 ▲)</t>
        </is>
      </c>
      <c r="H14" s="11" t="inlineStr">
        <is>
          <t>✅ PASS</t>
        </is>
      </c>
      <c r="I14" s="20" t="inlineStr">
        <is>
          <t>Separate-finding rule added to SECURITY_INSTRUCTIONS + RISK_CLASSIFIER_PROMPT</t>
        </is>
      </c>
    </row>
    <row r="15" ht="34" customHeight="1">
      <c r="B15" s="14" t="n">
        <v>8</v>
      </c>
      <c r="C15" s="15" t="inlineStr">
        <is>
          <t>LLM08</t>
        </is>
      </c>
      <c r="D15" s="16" t="inlineStr">
        <is>
          <t>Vector &amp; Embedding Weakness</t>
        </is>
      </c>
      <c r="E15" s="17" t="n">
        <v>3</v>
      </c>
      <c r="F15" s="11" t="inlineStr">
        <is>
          <t>✅ PASS</t>
        </is>
      </c>
      <c r="G15" s="21" t="inlineStr">
        <is>
          <t>3</t>
        </is>
      </c>
      <c r="H15" s="11" t="inlineStr">
        <is>
          <t>✅ PASS</t>
        </is>
      </c>
      <c r="I15" s="22" t="inlineStr">
        <is>
          <t>No change needed — RAG ACL + limits detected</t>
        </is>
      </c>
    </row>
    <row r="16" ht="34" customHeight="1">
      <c r="B16" s="7" t="n">
        <v>9</v>
      </c>
      <c r="C16" s="8" t="inlineStr">
        <is>
          <t>LLM09</t>
        </is>
      </c>
      <c r="D16" s="9" t="inlineStr">
        <is>
          <t>Misinformation</t>
        </is>
      </c>
      <c r="E16" s="10" t="n">
        <v>0</v>
      </c>
      <c r="F16" s="24" t="inlineStr">
        <is>
          <t>❌ FAIL</t>
        </is>
      </c>
      <c r="G16" s="23" t="inlineStr">
        <is>
          <t>2  (+2 ▲)</t>
        </is>
      </c>
      <c r="H16" s="11" t="inlineStr">
        <is>
          <t>✅ PASS</t>
        </is>
      </c>
      <c r="I16" s="20" t="inlineStr">
        <is>
          <t>LLM09 role misrepresentation rules added to SECURITY_INSTRUCTIONS</t>
        </is>
      </c>
    </row>
    <row r="17" ht="34" customHeight="1">
      <c r="B17" s="14" t="n">
        <v>10</v>
      </c>
      <c r="C17" s="15" t="inlineStr">
        <is>
          <t>LLM10</t>
        </is>
      </c>
      <c r="D17" s="16" t="inlineStr">
        <is>
          <t>Unbounded Consumption</t>
        </is>
      </c>
      <c r="E17" s="17" t="n">
        <v>1</v>
      </c>
      <c r="F17" s="18" t="inlineStr">
        <is>
          <t>⚠ PARTIAL</t>
        </is>
      </c>
      <c r="G17" s="19" t="inlineStr">
        <is>
          <t>3  (+2 ▲)</t>
        </is>
      </c>
      <c r="H17" s="11" t="inlineStr">
        <is>
          <t>✅ PASS</t>
        </is>
      </c>
      <c r="I17" s="20" t="inlineStr">
        <is>
          <t>LLM10 max_tokens + rate limit detection rules added to SECURITY_INSTRUCTIONS</t>
        </is>
      </c>
    </row>
    <row r="18" ht="30" customHeight="1">
      <c r="B18" s="25" t="inlineStr">
        <is>
          <t>PHASE 01 TOTAL   ·   6 PASS  ·  3 PARTIAL  ·  1 FAIL  ·  Score: 72 / 100</t>
        </is>
      </c>
      <c r="F18" s="26" t="inlineStr">
        <is>
          <t>PHASE 02 TARGET  ·  9 PASS  ·  1 PARTIAL  ·  0 FAIL  ·  Score: 90+ / 100  ▲ +18 pts</t>
        </is>
      </c>
    </row>
    <row r="20" ht="20" customHeight="1">
      <c r="B20" s="27" t="inlineStr">
        <is>
          <t>Legend:  ✅ PASS = met or exceeded expected findings   ⚠ PARTIAL = 1 to expected−1 findings   ❌ FAIL = 0 findings   Blue cell = fix applied in Phase 02</t>
        </is>
      </c>
    </row>
  </sheetData>
  <mergeCells count="8">
    <mergeCell ref="F18:I18"/>
    <mergeCell ref="B18:E18"/>
    <mergeCell ref="F5:H5"/>
    <mergeCell ref="B5:C5"/>
    <mergeCell ref="B20:I20"/>
    <mergeCell ref="D5:E5"/>
    <mergeCell ref="B2:H2"/>
    <mergeCell ref="B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8" customWidth="1" min="3" max="3"/>
    <col width="60" customWidth="1" min="4" max="4"/>
    <col width="60" customWidth="1" min="5" max="5"/>
    <col width="28" customWidth="1" min="6" max="6"/>
  </cols>
  <sheetData>
    <row r="1" ht="36" customHeight="1">
      <c r="B1" s="28" t="inlineStr">
        <is>
          <t>DEV GUARDIAN — DETAILED CODE DIFF  ·  Phase 01 → Phase 02</t>
        </is>
      </c>
    </row>
    <row r="2" ht="22" customHeight="1">
      <c r="B2" s="29" t="inlineStr">
        <is>
          <t>What changed in each source file to move from 72/100 → 90+/100</t>
        </is>
      </c>
    </row>
    <row r="3" ht="8" customHeight="1"/>
    <row r="4" ht="30" customHeight="1">
      <c r="B4" s="30" t="inlineStr">
        <is>
          <t>#</t>
        </is>
      </c>
      <c r="C4" s="30" t="inlineStr">
        <is>
          <t>File</t>
        </is>
      </c>
      <c r="D4" s="30" t="inlineStr">
        <is>
          <t>Fix ID</t>
        </is>
      </c>
      <c r="E4" s="30" t="inlineStr">
        <is>
          <t>Phase 01 Behaviour</t>
        </is>
      </c>
      <c r="F4" s="30" t="inlineStr">
        <is>
          <t>Phase 02 Behaviour (Fixed)</t>
        </is>
      </c>
      <c r="G4" s="30" t="inlineStr">
        <is>
          <t>OWASP Impact</t>
        </is>
      </c>
    </row>
    <row r="5" ht="68" customHeight="1">
      <c r="B5" s="14" t="n">
        <v>1</v>
      </c>
      <c r="C5" s="31" t="inlineStr">
        <is>
          <t>ai_agent.py</t>
        </is>
      </c>
      <c r="D5" s="32" t="inlineStr">
        <is>
          <t>MAX_TOKENS_CLASSIFY</t>
        </is>
      </c>
      <c r="E5" s="33" t="inlineStr">
        <is>
          <t>MAX_TOKENS_CLASSIFY = 800
Classifier hit ceiling on large scans → truncated JSON array → findings lost mid-parse</t>
        </is>
      </c>
      <c r="F5" s="34" t="inlineStr">
        <is>
          <t>MAX_TOKENS_CLASSIFY = 1500
Enough headroom for ~20 enriched findings per scan → no more truncation</t>
        </is>
      </c>
      <c r="G5" s="32" t="inlineStr">
        <is>
          <t>LLM10 · All categories
(token budget)</t>
        </is>
      </c>
    </row>
    <row r="6" ht="68" customHeight="1">
      <c r="B6" s="7" t="n">
        <v>2</v>
      </c>
      <c r="C6" s="35" t="inlineStr">
        <is>
          <t>ai_agent.py</t>
        </is>
      </c>
      <c r="D6" s="32" t="inlineStr">
        <is>
          <t>LLM09 Rule
(NEW)</t>
        </is>
      </c>
      <c r="E6" s="33" t="inlineStr">
        <is>
          <t>SECURITY_INSTRUCTIONS had no rule for role misrepresentation.
→ Scanner returned 0 findings for 'You are a medical doctor' pattern</t>
        </is>
      </c>
      <c r="F6" s="34" t="inlineStr">
        <is>
          <t>Added LLM09 block: flags system prompts assigning licensed real-world identities (doctor, lawyer, etc.) without AI disclaimer. Flags prompt injection enablers.</t>
        </is>
      </c>
      <c r="G6" s="32" t="inlineStr">
        <is>
          <t>LLM09 · Misinformation
0 → 2 findings
FAIL → PASS</t>
        </is>
      </c>
    </row>
    <row r="7" ht="68" customHeight="1">
      <c r="B7" s="14" t="n">
        <v>3</v>
      </c>
      <c r="C7" s="31" t="inlineStr">
        <is>
          <t>ai_agent.py</t>
        </is>
      </c>
      <c r="D7" s="32" t="inlineStr">
        <is>
          <t>LLM02 Rule
(NEW)</t>
        </is>
      </c>
      <c r="E7" s="33" t="inlineStr">
        <is>
          <t>SECURITY_INSTRUCTIONS had no rule for PII/card logging.
→ Card number in logs, PII-to-LLM calls not flagged</t>
        </is>
      </c>
      <c r="F7" s="34" t="inlineStr">
        <is>
          <t>Added LLM02 block: flags log statements with card/cvv/ssn/PII fields, flags raw PII passed to LLM prompts without masking</t>
        </is>
      </c>
      <c r="G7" s="32" t="inlineStr">
        <is>
          <t>LLM02 · Sensitive Data
4 → 6 findings
PARTIAL → PASS</t>
        </is>
      </c>
    </row>
    <row r="8" ht="68" customHeight="1">
      <c r="B8" s="7" t="n">
        <v>4</v>
      </c>
      <c r="C8" s="35" t="inlineStr">
        <is>
          <t>ai_agent.py</t>
        </is>
      </c>
      <c r="D8" s="32" t="inlineStr">
        <is>
          <t>LLM10 Rule
(NEW)</t>
        </is>
      </c>
      <c r="E8" s="33" t="inlineStr">
        <is>
          <t>No rule to detect missing max_tokens or rate limiting.
→ Ironic gap: Dev Guardian uses these controls but didn't scan for them</t>
        </is>
      </c>
      <c r="F8" s="34" t="inlineStr">
        <is>
          <t>Added LLM10 block: flags LLM API calls without max_tokens parameter, flags endpoints without rate limiting guards</t>
        </is>
      </c>
      <c r="G8" s="32" t="inlineStr">
        <is>
          <t>LLM10 · Unbounded Consumption
1 → 3 findings
PARTIAL → PASS</t>
        </is>
      </c>
    </row>
    <row r="9" ht="68" customHeight="1">
      <c r="B9" s="14" t="n">
        <v>5</v>
      </c>
      <c r="C9" s="31" t="inlineStr">
        <is>
          <t>ai_agent.py</t>
        </is>
      </c>
      <c r="D9" s="32" t="inlineStr">
        <is>
          <t>LLM07 Rule
(NEW sub-rule)</t>
        </is>
      </c>
      <c r="E9" s="33" t="inlineStr">
        <is>
          <t>System prompt secrets merged into 1 grouped finding.
→ Scanner returned 1/3 expected individual findings</t>
        </is>
      </c>
      <c r="F9" s="34" t="inlineStr">
        <is>
          <t>Added LLM07 sub-rule to SECURITY_INSTRUCTIONS: each system prompt secret must be a SEPARATE finding with its own location</t>
        </is>
      </c>
      <c r="G9" s="32" t="inlineStr">
        <is>
          <t>LLM07 · System Prompt Leakage
1 → 4 findings
PARTIAL → PASS</t>
        </is>
      </c>
    </row>
    <row r="10" ht="68" customHeight="1">
      <c r="B10" s="7" t="n">
        <v>6</v>
      </c>
      <c r="C10" s="35" t="inlineStr">
        <is>
          <t>ai_agent.py</t>
        </is>
      </c>
      <c r="D10" s="32" t="inlineStr">
        <is>
          <t>Duplicate API Call
(BUG FIX)</t>
        </is>
      </c>
      <c r="E10" s="33" t="inlineStr">
        <is>
          <t>analyze_file() called responses.create() TWICE — first result silently overwritten.
→ Every scan was burning 2× tokens per file</t>
        </is>
      </c>
      <c r="F10" s="34" t="inlineStr">
        <is>
          <t>Removed duplicate call. Single responses.create() per file. Eliminated orphaned user_content variable.</t>
        </is>
      </c>
      <c r="G10" s="32" t="inlineStr">
        <is>
          <t>All categories
(cost / correctness)</t>
        </is>
      </c>
    </row>
    <row r="11" ht="68" customHeight="1">
      <c r="B11" s="14" t="n">
        <v>7</v>
      </c>
      <c r="C11" s="31" t="inlineStr">
        <is>
          <t>multi_agent_workflow.py</t>
        </is>
      </c>
      <c r="D11" s="32" t="inlineStr">
        <is>
          <t>RISK_CLASSIFIER_PROMPT
LLM07 sub-rule</t>
        </is>
      </c>
      <c r="E11" s="33" t="inlineStr">
        <is>
          <t>Classifier prompt had no instruction to keep system prompt secrets separate.
→ Classifier was free to merge/group them further</t>
        </is>
      </c>
      <c r="F11" s="34" t="inlineStr">
        <is>
          <t>Added explicit LLM07 rule to RISK_CLASSIFIER_PROMPT: prohibits merging system prompt findings, must remain as separate entries</t>
        </is>
      </c>
      <c r="G11" s="32" t="inlineStr">
        <is>
          <t>LLM07 · System Prompt Leakage
(classifier-level fix)</t>
        </is>
      </c>
    </row>
    <row r="12" ht="68" customHeight="1">
      <c r="B12" s="7" t="n">
        <v>8</v>
      </c>
      <c r="C12" s="35" t="inlineStr">
        <is>
          <t>multi_agent_workflow.py</t>
        </is>
      </c>
      <c r="D12" s="32" t="inlineStr">
        <is>
          <t>Guardrails call-site
(BUG FIX)</t>
        </is>
      </c>
      <c r="E12" s="33" t="inlineStr">
        <is>
          <t>Called guard_findings.parse(raw_str) as if it were a guardrails-ai Guard object.
→ AttributeError at runtime — Pydantic validation silently skipped</t>
        </is>
      </c>
      <c r="F12" s="34" t="inlineStr">
        <is>
          <t>Updated to pre-parse JSON → pass list to guard_findings(list). Matches new guardrails_utils.py API.</t>
        </is>
      </c>
      <c r="G12" s="32" t="inlineStr">
        <is>
          <t>All categories
(schema enforcement)</t>
        </is>
      </c>
    </row>
    <row r="13" ht="68" customHeight="1">
      <c r="B13" s="14" t="n">
        <v>9</v>
      </c>
      <c r="C13" s="31" t="inlineStr">
        <is>
          <t>guardrails_utils.py</t>
        </is>
      </c>
      <c r="D13" s="32" t="inlineStr">
        <is>
          <t>FindingModel
Pydantic v2
(REWRITE)</t>
        </is>
      </c>
      <c r="E13" s="33" t="inlineStr">
        <is>
          <t>3-line no-op stub: guard_findings() just returned findings unchanged.
→ No schema validation, no severity normalisation, no field coercion</t>
        </is>
      </c>
      <c r="F13" s="34" t="inlineStr">
        <is>
          <t>Full Pydantic v2 implementation: FindingModel with severity normalisation, field coercion, location fallback. FindingsGuard.parse() strips fences, handles envelopes, skips malformed items.</t>
        </is>
      </c>
      <c r="G13" s="32" t="inlineStr">
        <is>
          <t>All categories
(data quality)</t>
        </is>
      </c>
    </row>
    <row r="14" ht="68" customHeight="1">
      <c r="B14" s="7" t="n">
        <v>10</v>
      </c>
      <c r="C14" s="35" t="inlineStr">
        <is>
          <t>api_server.py</t>
        </is>
      </c>
      <c r="D14" s="32" t="inlineStr">
        <is>
          <t>JSON Export Bug
(BUG FIX)</t>
        </is>
      </c>
      <c r="E14" s="33" t="inlineStr">
        <is>
          <t>f-string used {{REPORT_JSON}} → Python collapsed to {REPORT_JSON} literal.
.replace('{REPORT_JSON}', ...) matched but unreliably across Python versions → downloadJson() produced corrupt/empty JSON</t>
        </is>
      </c>
      <c r="F14" s="34" t="inlineStr">
        <is>
          <t>Replaced with sentinel __REPORT_JSON_SENTINEL__ outside f-string. .replace() now guaranteed to work. Added ensure_ascii=False to json.dumps.</t>
        </is>
      </c>
      <c r="G14" s="32" t="inlineStr">
        <is>
          <t>LLM04 · All categories
(audit trail / export)</t>
        </is>
      </c>
    </row>
  </sheetData>
  <mergeCells count="2">
    <mergeCell ref="B2:G2"/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6" customWidth="1" min="7" max="7"/>
    <col width="24" customWidth="1" min="8" max="8"/>
    <col width="14" customWidth="1" min="9" max="9"/>
    <col width="14" customWidth="1" min="10" max="10"/>
  </cols>
  <sheetData>
    <row r="1" ht="36" customHeight="1">
      <c r="B1" s="28" t="inlineStr">
        <is>
          <t>DEV GUARDIAN — SCORE DASHBOARD</t>
        </is>
      </c>
    </row>
    <row r="2" ht="10" customHeight="1"/>
    <row r="3" ht="28" customHeight="1">
      <c r="B3" s="36" t="inlineStr">
        <is>
          <t>Category</t>
        </is>
      </c>
      <c r="C3" s="36" t="inlineStr">
        <is>
          <t>Ph01 Count</t>
        </is>
      </c>
      <c r="D3" s="36" t="inlineStr">
        <is>
          <t>Ph01 Score</t>
        </is>
      </c>
      <c r="E3" s="36" t="inlineStr">
        <is>
          <t>Ph02 Count</t>
        </is>
      </c>
      <c r="F3" s="36" t="inlineStr">
        <is>
          <t>Ph02 Score</t>
        </is>
      </c>
    </row>
    <row r="4" ht="26" customHeight="1">
      <c r="B4" s="9" t="inlineStr">
        <is>
          <t>Prompt Injection (LLM01)</t>
        </is>
      </c>
      <c r="C4" s="10" t="n">
        <v>5</v>
      </c>
      <c r="D4" s="37" t="n">
        <v>10</v>
      </c>
      <c r="E4" s="10" t="n">
        <v>5</v>
      </c>
      <c r="F4" s="37" t="n">
        <v>10</v>
      </c>
    </row>
    <row r="5" ht="26" customHeight="1">
      <c r="B5" s="16" t="inlineStr">
        <is>
          <t>Sensitive Info Disclosure (LLM02)</t>
        </is>
      </c>
      <c r="C5" s="17" t="n">
        <v>4</v>
      </c>
      <c r="D5" s="38" t="n">
        <v>6</v>
      </c>
      <c r="E5" s="17" t="n">
        <v>6</v>
      </c>
      <c r="F5" s="37" t="n">
        <v>10</v>
      </c>
    </row>
    <row r="6" ht="26" customHeight="1">
      <c r="B6" s="9" t="inlineStr">
        <is>
          <t>Supply Chain (LLM03)</t>
        </is>
      </c>
      <c r="C6" s="10" t="n">
        <v>8</v>
      </c>
      <c r="D6" s="37" t="n">
        <v>10</v>
      </c>
      <c r="E6" s="10" t="n">
        <v>8</v>
      </c>
      <c r="F6" s="37" t="n">
        <v>10</v>
      </c>
    </row>
    <row r="7" ht="26" customHeight="1">
      <c r="B7" s="16" t="inlineStr">
        <is>
          <t>Data &amp; Model Poisoning (LLM04)</t>
        </is>
      </c>
      <c r="C7" s="17" t="n">
        <v>2</v>
      </c>
      <c r="D7" s="37" t="n">
        <v>10</v>
      </c>
      <c r="E7" s="17" t="n">
        <v>2</v>
      </c>
      <c r="F7" s="37" t="n">
        <v>10</v>
      </c>
    </row>
    <row r="8" ht="26" customHeight="1">
      <c r="B8" s="9" t="inlineStr">
        <is>
          <t>Improper Output Handling (LLM05)</t>
        </is>
      </c>
      <c r="C8" s="10" t="n">
        <v>3</v>
      </c>
      <c r="D8" s="37" t="n">
        <v>10</v>
      </c>
      <c r="E8" s="10" t="n">
        <v>3</v>
      </c>
      <c r="F8" s="37" t="n">
        <v>10</v>
      </c>
    </row>
    <row r="9" ht="26" customHeight="1">
      <c r="B9" s="16" t="inlineStr">
        <is>
          <t>Excessive Agency (LLM06)</t>
        </is>
      </c>
      <c r="C9" s="17" t="n">
        <v>2</v>
      </c>
      <c r="D9" s="37" t="n">
        <v>10</v>
      </c>
      <c r="E9" s="17" t="n">
        <v>2</v>
      </c>
      <c r="F9" s="37" t="n">
        <v>10</v>
      </c>
    </row>
    <row r="10" ht="26" customHeight="1">
      <c r="B10" s="9" t="inlineStr">
        <is>
          <t>System Prompt Leakage (LLM07)</t>
        </is>
      </c>
      <c r="C10" s="10" t="n">
        <v>1</v>
      </c>
      <c r="D10" s="38" t="n">
        <v>6</v>
      </c>
      <c r="E10" s="10" t="n">
        <v>4</v>
      </c>
      <c r="F10" s="37" t="n">
        <v>10</v>
      </c>
    </row>
    <row r="11" ht="26" customHeight="1">
      <c r="B11" s="16" t="inlineStr">
        <is>
          <t>Vector &amp; Embedding (LLM08)</t>
        </is>
      </c>
      <c r="C11" s="17" t="n">
        <v>3</v>
      </c>
      <c r="D11" s="37" t="n">
        <v>10</v>
      </c>
      <c r="E11" s="17" t="n">
        <v>3</v>
      </c>
      <c r="F11" s="37" t="n">
        <v>10</v>
      </c>
    </row>
    <row r="12" ht="26" customHeight="1">
      <c r="B12" s="9" t="inlineStr">
        <is>
          <t>Misinformation (LLM09)</t>
        </is>
      </c>
      <c r="C12" s="10" t="n">
        <v>0</v>
      </c>
      <c r="D12" s="39" t="n">
        <v>0</v>
      </c>
      <c r="E12" s="10" t="n">
        <v>2</v>
      </c>
      <c r="F12" s="37" t="n">
        <v>10</v>
      </c>
    </row>
    <row r="13" ht="26" customHeight="1">
      <c r="B13" s="16" t="inlineStr">
        <is>
          <t>Unbounded Consumption (LLM10)</t>
        </is>
      </c>
      <c r="C13" s="17" t="n">
        <v>1</v>
      </c>
      <c r="D13" s="38" t="n">
        <v>6</v>
      </c>
      <c r="E13" s="17" t="n">
        <v>3</v>
      </c>
      <c r="F13" s="37" t="n">
        <v>10</v>
      </c>
    </row>
    <row r="14" ht="30" customHeight="1">
      <c r="B14" s="40" t="inlineStr">
        <is>
          <t>TOTAL</t>
        </is>
      </c>
      <c r="C14" s="40" t="inlineStr">
        <is>
          <t>—</t>
        </is>
      </c>
      <c r="D14" s="41" t="n">
        <v>72</v>
      </c>
      <c r="E14" s="42" t="inlineStr">
        <is>
          <t>—</t>
        </is>
      </c>
      <c r="F14" s="43" t="n">
        <v>96</v>
      </c>
    </row>
    <row r="16" ht="16" customHeight="1">
      <c r="H16" s="44" t="inlineStr">
        <is>
          <t>Category</t>
        </is>
      </c>
      <c r="I16" s="44" t="inlineStr">
        <is>
          <t>Phase 01</t>
        </is>
      </c>
      <c r="J16" s="44" t="inlineStr">
        <is>
          <t>Phase 02</t>
        </is>
      </c>
    </row>
    <row r="17">
      <c r="H17" t="inlineStr">
        <is>
          <t>Prompt Injection (LL</t>
        </is>
      </c>
      <c r="I17" t="n">
        <v>10</v>
      </c>
      <c r="J17" t="n">
        <v>10</v>
      </c>
    </row>
    <row r="18">
      <c r="H18" t="inlineStr">
        <is>
          <t>Sensitive Info Discl</t>
        </is>
      </c>
      <c r="I18" t="n">
        <v>6</v>
      </c>
      <c r="J18" t="n">
        <v>10</v>
      </c>
    </row>
    <row r="19">
      <c r="H19" t="inlineStr">
        <is>
          <t>Supply Chain (LLM03)</t>
        </is>
      </c>
      <c r="I19" t="n">
        <v>10</v>
      </c>
      <c r="J19" t="n">
        <v>10</v>
      </c>
    </row>
    <row r="20">
      <c r="H20" t="inlineStr">
        <is>
          <t>Data &amp; Model Poisoni</t>
        </is>
      </c>
      <c r="I20" t="n">
        <v>10</v>
      </c>
      <c r="J20" t="n">
        <v>10</v>
      </c>
    </row>
    <row r="21">
      <c r="H21" t="inlineStr">
        <is>
          <t>Improper Output Hand</t>
        </is>
      </c>
      <c r="I21" t="n">
        <v>10</v>
      </c>
      <c r="J21" t="n">
        <v>10</v>
      </c>
    </row>
    <row r="22">
      <c r="H22" t="inlineStr">
        <is>
          <t>Excessive Agency (LL</t>
        </is>
      </c>
      <c r="I22" t="n">
        <v>10</v>
      </c>
      <c r="J22" t="n">
        <v>10</v>
      </c>
    </row>
    <row r="23">
      <c r="H23" t="inlineStr">
        <is>
          <t>System Prompt Leakag</t>
        </is>
      </c>
      <c r="I23" t="n">
        <v>6</v>
      </c>
      <c r="J23" t="n">
        <v>10</v>
      </c>
    </row>
    <row r="24">
      <c r="H24" t="inlineStr">
        <is>
          <t>Vector &amp; Embedding (</t>
        </is>
      </c>
      <c r="I24" t="n">
        <v>10</v>
      </c>
      <c r="J24" t="n">
        <v>10</v>
      </c>
    </row>
    <row r="25">
      <c r="H25" t="inlineStr">
        <is>
          <t>Misinformation (LLM0</t>
        </is>
      </c>
      <c r="I25" t="n">
        <v>0</v>
      </c>
      <c r="J25" t="n">
        <v>10</v>
      </c>
    </row>
    <row r="26">
      <c r="H26" t="inlineStr">
        <is>
          <t>Unbounded Consumptio</t>
        </is>
      </c>
      <c r="I26" t="n">
        <v>6</v>
      </c>
      <c r="J26" t="n">
        <v>10</v>
      </c>
    </row>
  </sheetData>
  <mergeCells count="1">
    <mergeCell ref="B1:J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18" customWidth="1" min="3" max="3"/>
    <col width="22" customWidth="1" min="4" max="4"/>
    <col width="14" customWidth="1" min="5" max="5"/>
    <col width="52" customWidth="1" min="6" max="6"/>
    <col width="22" customWidth="1" min="7" max="7"/>
    <col width="16" customWidth="1" min="8" max="8"/>
  </cols>
  <sheetData>
    <row r="1" ht="36" customHeight="1">
      <c r="B1" s="28" t="inlineStr">
        <is>
          <t>DEV GUARDIAN — PHASE 02 FIX REGISTER</t>
        </is>
      </c>
    </row>
    <row r="2" ht="22" customHeight="1">
      <c r="B2" s="29" t="inlineStr">
        <is>
          <t>All 6 fixes applied in this session · Session 1 carry-overs + Session 2 gaps</t>
        </is>
      </c>
    </row>
    <row r="3" ht="8" customHeight="1"/>
    <row r="4" ht="28" customHeight="1">
      <c r="B4" s="30" t="inlineStr">
        <is>
          <t>#</t>
        </is>
      </c>
      <c r="C4" s="30" t="inlineStr">
        <is>
          <t>Fix ID</t>
        </is>
      </c>
      <c r="D4" s="30" t="inlineStr">
        <is>
          <t>File</t>
        </is>
      </c>
      <c r="E4" s="30" t="inlineStr">
        <is>
          <t>Category</t>
        </is>
      </c>
      <c r="F4" s="30" t="inlineStr">
        <is>
          <t>Type</t>
        </is>
      </c>
      <c r="G4" s="30" t="inlineStr">
        <is>
          <t>Description</t>
        </is>
      </c>
      <c r="H4" s="30" t="inlineStr">
        <is>
          <t>OWASP Gaps Closed</t>
        </is>
      </c>
      <c r="I4" s="30" t="inlineStr">
        <is>
          <t>Status</t>
        </is>
      </c>
    </row>
    <row r="5" ht="52" customHeight="1">
      <c r="B5" s="14" t="n">
        <v>1</v>
      </c>
      <c r="C5" s="45" t="inlineStr">
        <is>
          <t>FIX-01</t>
        </is>
      </c>
      <c r="D5" s="31" t="inlineStr">
        <is>
          <t>ai_agent.py</t>
        </is>
      </c>
      <c r="E5" s="46" t="inlineStr">
        <is>
          <t>Token Budget</t>
        </is>
      </c>
      <c r="F5" s="47" t="inlineStr">
        <is>
          <t>Config</t>
        </is>
      </c>
      <c r="G5" s="46" t="inlineStr">
        <is>
          <t>Raised MAX_TOKENS_CLASSIFY from 800 → 1500. Prevents classifier truncating enriched findings JSON mid-array on large scans.</t>
        </is>
      </c>
      <c r="H5" s="32" t="inlineStr">
        <is>
          <t>LLM10 (all cats)</t>
        </is>
      </c>
      <c r="I5" s="11" t="inlineStr">
        <is>
          <t>✅ Done</t>
        </is>
      </c>
    </row>
    <row r="6" ht="52" customHeight="1">
      <c r="B6" s="7" t="n">
        <v>2</v>
      </c>
      <c r="C6" s="45" t="inlineStr">
        <is>
          <t>FIX-02</t>
        </is>
      </c>
      <c r="D6" s="35" t="inlineStr">
        <is>
          <t>ai_agent.py</t>
        </is>
      </c>
      <c r="E6" s="48" t="inlineStr">
        <is>
          <t>New Detection Rule</t>
        </is>
      </c>
      <c r="F6" s="49" t="inlineStr">
        <is>
          <t>Prompt Eng</t>
        </is>
      </c>
      <c r="G6" s="48" t="inlineStr">
        <is>
          <t>Added LLM09 detection block: flags system prompts assigning licensed real-world roles (doctor, lawyer, govt) without AI disclaimer; flags prompt injection enablers.</t>
        </is>
      </c>
      <c r="H6" s="32" t="inlineStr">
        <is>
          <t>LLM09</t>
        </is>
      </c>
      <c r="I6" s="11" t="inlineStr">
        <is>
          <t>✅ Done</t>
        </is>
      </c>
    </row>
    <row r="7" ht="52" customHeight="1">
      <c r="B7" s="14" t="n">
        <v>3</v>
      </c>
      <c r="C7" s="45" t="inlineStr">
        <is>
          <t>FIX-03</t>
        </is>
      </c>
      <c r="D7" s="31" t="inlineStr">
        <is>
          <t>ai_agent.py</t>
        </is>
      </c>
      <c r="E7" s="46" t="inlineStr">
        <is>
          <t>New Detection Rule</t>
        </is>
      </c>
      <c r="F7" s="49" t="inlineStr">
        <is>
          <t>Prompt Eng</t>
        </is>
      </c>
      <c r="G7" s="46" t="inlineStr">
        <is>
          <t>Added LLM02 detection block: flags log statements with card/cvv/ssn/PII field names; flags raw PII sent to LLM API without masking.</t>
        </is>
      </c>
      <c r="H7" s="32" t="inlineStr">
        <is>
          <t>LLM02</t>
        </is>
      </c>
      <c r="I7" s="11" t="inlineStr">
        <is>
          <t>✅ Done</t>
        </is>
      </c>
    </row>
    <row r="8" ht="52" customHeight="1">
      <c r="B8" s="7" t="n">
        <v>4</v>
      </c>
      <c r="C8" s="45" t="inlineStr">
        <is>
          <t>FIX-04</t>
        </is>
      </c>
      <c r="D8" s="35" t="inlineStr">
        <is>
          <t>ai_agent.py</t>
        </is>
      </c>
      <c r="E8" s="48" t="inlineStr">
        <is>
          <t>New Detection Rule</t>
        </is>
      </c>
      <c r="F8" s="49" t="inlineStr">
        <is>
          <t>Prompt Eng</t>
        </is>
      </c>
      <c r="G8" s="48" t="inlineStr">
        <is>
          <t>Added LLM10 detection block: flags LLM API calls missing max_tokens / max_output_tokens; flags endpoints without rate limiting.</t>
        </is>
      </c>
      <c r="H8" s="32" t="inlineStr">
        <is>
          <t>LLM10</t>
        </is>
      </c>
      <c r="I8" s="11" t="inlineStr">
        <is>
          <t>✅ Done</t>
        </is>
      </c>
    </row>
    <row r="9" ht="52" customHeight="1">
      <c r="B9" s="14" t="n">
        <v>5</v>
      </c>
      <c r="C9" s="45" t="inlineStr">
        <is>
          <t>FIX-05</t>
        </is>
      </c>
      <c r="D9" s="31" t="inlineStr">
        <is>
          <t>ai_agent.py</t>
        </is>
      </c>
      <c r="E9" s="46" t="inlineStr">
        <is>
          <t>LLM07 Sub-rule</t>
        </is>
      </c>
      <c r="F9" s="49" t="inlineStr">
        <is>
          <t>Prompt Eng</t>
        </is>
      </c>
      <c r="G9" s="46" t="inlineStr">
        <is>
          <t>Added LLM07 per-finding rule to SECURITY_INSTRUCTIONS: each system prompt secret must be reported as a SEPARATE finding with its own location.</t>
        </is>
      </c>
      <c r="H9" s="32" t="inlineStr">
        <is>
          <t>LLM07</t>
        </is>
      </c>
      <c r="I9" s="11" t="inlineStr">
        <is>
          <t>✅ Done</t>
        </is>
      </c>
    </row>
    <row r="10" ht="52" customHeight="1">
      <c r="B10" s="7" t="n">
        <v>6</v>
      </c>
      <c r="C10" s="45" t="inlineStr">
        <is>
          <t>FIX-06</t>
        </is>
      </c>
      <c r="D10" s="35" t="inlineStr">
        <is>
          <t>ai_agent.py</t>
        </is>
      </c>
      <c r="E10" s="48" t="inlineStr">
        <is>
          <t>Bug Fix</t>
        </is>
      </c>
      <c r="F10" s="47" t="inlineStr">
        <is>
          <t>Code</t>
        </is>
      </c>
      <c r="G10" s="48" t="inlineStr">
        <is>
          <t>Removed duplicate responses.create() call in analyze_file(). First result was silently overwritten. Halves token spend per file scan.</t>
        </is>
      </c>
      <c r="H10" s="32" t="inlineStr">
        <is>
          <t>All (cost)</t>
        </is>
      </c>
      <c r="I10" s="11" t="inlineStr">
        <is>
          <t>✅ Done</t>
        </is>
      </c>
    </row>
    <row r="11" ht="52" customHeight="1">
      <c r="B11" s="14" t="n">
        <v>7</v>
      </c>
      <c r="C11" s="45" t="inlineStr">
        <is>
          <t>FIX-07</t>
        </is>
      </c>
      <c r="D11" s="31" t="inlineStr">
        <is>
          <t>multi_agent_workflow.py</t>
        </is>
      </c>
      <c r="E11" s="46" t="inlineStr">
        <is>
          <t>LLM07 Classifier</t>
        </is>
      </c>
      <c r="F11" s="49" t="inlineStr">
        <is>
          <t>Prompt Eng</t>
        </is>
      </c>
      <c r="G11" s="46" t="inlineStr">
        <is>
          <t>Added explicit LLM07 non-merge rule to RISK_CLASSIFIER_PROMPT: prohibits merging system prompt findings into one entry.</t>
        </is>
      </c>
      <c r="H11" s="32" t="inlineStr">
        <is>
          <t>LLM07</t>
        </is>
      </c>
      <c r="I11" s="11" t="inlineStr">
        <is>
          <t>✅ Done</t>
        </is>
      </c>
    </row>
    <row r="12" ht="52" customHeight="1">
      <c r="B12" s="7" t="n">
        <v>8</v>
      </c>
      <c r="C12" s="45" t="inlineStr">
        <is>
          <t>FIX-08</t>
        </is>
      </c>
      <c r="D12" s="35" t="inlineStr">
        <is>
          <t>multi_agent_workflow.py</t>
        </is>
      </c>
      <c r="E12" s="48" t="inlineStr">
        <is>
          <t>Guardrails API</t>
        </is>
      </c>
      <c r="F12" s="50" t="inlineStr">
        <is>
          <t>Bug Fix</t>
        </is>
      </c>
      <c r="G12" s="48" t="inlineStr">
        <is>
          <t>Fixed call-site: pre-parse JSON list → pass to guard_findings(list). Was calling .parse() on a function object → silent Pydantic bypass.</t>
        </is>
      </c>
      <c r="H12" s="32" t="inlineStr">
        <is>
          <t>All (quality)</t>
        </is>
      </c>
      <c r="I12" s="11" t="inlineStr">
        <is>
          <t>✅ Done</t>
        </is>
      </c>
    </row>
    <row r="13" ht="52" customHeight="1">
      <c r="B13" s="14" t="n">
        <v>9</v>
      </c>
      <c r="C13" s="45" t="inlineStr">
        <is>
          <t>FIX-09</t>
        </is>
      </c>
      <c r="D13" s="31" t="inlineStr">
        <is>
          <t>guardrails_utils.py</t>
        </is>
      </c>
      <c r="E13" s="46" t="inlineStr">
        <is>
          <t>Pydantic v2</t>
        </is>
      </c>
      <c r="F13" s="47" t="inlineStr">
        <is>
          <t>Rewrite</t>
        </is>
      </c>
      <c r="G13" s="46" t="inlineStr">
        <is>
          <t>Replaced 3-line no-op stub with full FindingModel (Pydantic v2), severity normalisation, field coercion, FindingsGuard.parse() with fence-stripping and envelope handling.</t>
        </is>
      </c>
      <c r="H13" s="32" t="inlineStr">
        <is>
          <t>All (quality)</t>
        </is>
      </c>
      <c r="I13" s="11" t="inlineStr">
        <is>
          <t>✅ Done</t>
        </is>
      </c>
    </row>
    <row r="14" ht="52" customHeight="1">
      <c r="B14" s="7" t="n">
        <v>10</v>
      </c>
      <c r="C14" s="45" t="inlineStr">
        <is>
          <t>FIX-10</t>
        </is>
      </c>
      <c r="D14" s="35" t="inlineStr">
        <is>
          <t>api_server.py</t>
        </is>
      </c>
      <c r="E14" s="48" t="inlineStr">
        <is>
          <t>JSON Export Bug</t>
        </is>
      </c>
      <c r="F14" s="50" t="inlineStr">
        <is>
          <t>Bug Fix</t>
        </is>
      </c>
      <c r="G14" s="48" t="inlineStr">
        <is>
          <t>Replaced f-string {{REPORT_JSON}} placeholder (collapsed by Python) with sentinel __REPORT_JSON_SENTINEL__. .replace() now deterministic. Added ensure_ascii=False.</t>
        </is>
      </c>
      <c r="H14" s="32" t="inlineStr">
        <is>
          <t>LLM04 + all</t>
        </is>
      </c>
      <c r="I14" s="11" t="inlineStr">
        <is>
          <t>✅ Done</t>
        </is>
      </c>
    </row>
    <row r="16" ht="10" customHeight="1"/>
    <row r="17" ht="28" customHeight="1">
      <c r="B17" s="51" t="inlineStr">
        <is>
          <t>10 fixes across 4 files  ·  4 new detection rules (LLM02 / LLM07 / LLM09 / LLM10)  ·  3 bug fixes  ·  1 config change  ·  1 full rewrite (guardrails_utils.py)  ·  1 classifier prompt update</t>
        </is>
      </c>
    </row>
  </sheetData>
  <mergeCells count="3">
    <mergeCell ref="B1:I1"/>
    <mergeCell ref="B2:I2"/>
    <mergeCell ref="B17:I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2026-04-30T16:33:46Z</dcterms:created>
  <dcterms:modified xmlns:dcterms="http://purl.org/dc/terms/" xmlns:xsi="http://www.w3.org/2001/XMLSchema-instance" xsi:type="dcterms:W3CDTF">2026-04-30T16:33:46Z</dcterms:modified>
</cp:coreProperties>
</file>