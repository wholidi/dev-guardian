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ummary" sheetId="1" state="visible" r:id="rId3"/>
    <sheet name="🔵 Layer 1 — Platform" sheetId="2" state="visible" r:id="rId4"/>
    <sheet name="🟢 Layer 2 — Model Selection" sheetId="3" state="visible" r:id="rId5"/>
    <sheet name="🟣 Layer 3 — App Controls" sheetId="4" state="visible" r:id="rId6"/>
    <sheet name="💰 Token Budg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<sst xmlns="http://schemas.openxmlformats.org/spreadsheetml/2006/main" count="335" uniqueCount="203">
  <si>
    <t xml:space="preserve">DEV GUARDIAN — TOKEN CONTROL IMPLEMENTATION LOG</t>
  </si>
  <si>
    <t xml:space="preserve">Urielle AI Audit · AISB Singapore 2026 · Blue Team Governance</t>
  </si>
  <si>
    <t xml:space="preserve">Layer</t>
  </si>
  <si>
    <t xml:space="preserve">Control ID</t>
  </si>
  <si>
    <t xml:space="preserve">Control Description</t>
  </si>
  <si>
    <t xml:space="preserve">File(s) Changed</t>
  </si>
  <si>
    <t xml:space="preserve">Threat (STRIDE)</t>
  </si>
  <si>
    <t xml:space="preserve">Status</t>
  </si>
  <si>
    <t xml:space="preserve">Priority</t>
  </si>
  <si>
    <t xml:space="preserve">Layer 1</t>
  </si>
  <si>
    <t xml:space="preserve">L1-C1</t>
  </si>
  <si>
    <t xml:space="preserve">Set monthly budget cap at $10 via OpenAI Platform</t>
  </si>
  <si>
    <t xml:space="preserve">platform.openai.com/settings</t>
  </si>
  <si>
    <t xml:space="preserve">D — DoS / Runaway spend</t>
  </si>
  <si>
    <t xml:space="preserve">✅ Done</t>
  </si>
  <si>
    <t xml:space="preserve">HIGH</t>
  </si>
  <si>
    <t xml:space="preserve">L1-C2</t>
  </si>
  <si>
    <t xml:space="preserve">Configure 50% usage alert ($5 threshold)</t>
  </si>
  <si>
    <t xml:space="preserve">D — Runaway spend early warning</t>
  </si>
  <si>
    <t xml:space="preserve">L1-C3</t>
  </si>
  <si>
    <t xml:space="preserve">Configure 100% usage alert ($10 threshold)</t>
  </si>
  <si>
    <t xml:space="preserve">D — Hard stop notification</t>
  </si>
  <si>
    <t xml:space="preserve">L1-C4</t>
  </si>
  <si>
    <t xml:space="preserve">Add 80% alert ($8) as mid-point buffer</t>
  </si>
  <si>
    <t xml:space="preserve">D — Budget headroom control</t>
  </si>
  <si>
    <t xml:space="preserve">⚠ Recommended</t>
  </si>
  <si>
    <t xml:space="preserve">MEDIUM</t>
  </si>
  <si>
    <t xml:space="preserve">L1-C5</t>
  </si>
  <si>
    <t xml:space="preserve">Verify rate limit model: gpt-4.1 = 30K TPM (lowest on Tier 1)</t>
  </si>
  <si>
    <t xml:space="preserve">platform.openai.com/settings → Limits</t>
  </si>
  <si>
    <t xml:space="preserve">D — TPM exhaustion during load</t>
  </si>
  <si>
    <t xml:space="preserve">⚠ Monitor</t>
  </si>
  <si>
    <t xml:space="preserve">Layer 2</t>
  </si>
  <si>
    <t xml:space="preserve">L2-C1</t>
  </si>
  <si>
    <t xml:space="preserve">Replace global MODEL_NAME='o3-mini' with 4 per-agent constants</t>
  </si>
  <si>
    <t xml:space="preserve">ai_agent.py</t>
  </si>
  <si>
    <t xml:space="preserve">T — Tamper via cost escalation</t>
  </si>
  <si>
    <t xml:space="preserve">L2-C2</t>
  </si>
  <si>
    <t xml:space="preserve">ScanAgent → gpt-4.1-mini (200K TPM, 90% cheaper than o3-mini)</t>
  </si>
  <si>
    <t xml:space="preserve">ai_agent.py · SCAN_MODEL</t>
  </si>
  <si>
    <t xml:space="preserve">D — TPM rate limit exhaustion</t>
  </si>
  <si>
    <t xml:space="preserve">L2-C3</t>
  </si>
  <si>
    <t xml:space="preserve">RiskClassifierAgent → gpt-4.1-nano (JSON normalisation only)</t>
  </si>
  <si>
    <t xml:space="preserve">ai_agent.py · CLASSIFY_MODEL</t>
  </si>
  <si>
    <t xml:space="preserve">D — Overspend on trivial task</t>
  </si>
  <si>
    <t xml:space="preserve">L2-C4</t>
  </si>
  <si>
    <t xml:space="preserve">SummaryAgent → gpt-4.1-mini (swap to gpt-4.1 for Executive mode only)</t>
  </si>
  <si>
    <t xml:space="preserve">ai_agent.py · SUMMARY_MODEL</t>
  </si>
  <si>
    <t xml:space="preserve">D — Overspend on narrative</t>
  </si>
  <si>
    <t xml:space="preserve">L2-C5</t>
  </si>
  <si>
    <t xml:space="preserve">SupervisorAgent → gpt-4.1-nano (4-option routing JSON only)</t>
  </si>
  <si>
    <t xml:space="preserve">ai_agent.py · SUPERVISOR_MODEL</t>
  </si>
  <si>
    <t xml:space="preserve">D — Overspend on routing</t>
  </si>
  <si>
    <t xml:space="preserve">L2-C6</t>
  </si>
  <si>
    <t xml:space="preserve">Keep MODEL_NAME alias for backward compatibility</t>
  </si>
  <si>
    <t xml:space="preserve">—</t>
  </si>
  <si>
    <t xml:space="preserve">LOW</t>
  </si>
  <si>
    <t xml:space="preserve">Layer 3</t>
  </si>
  <si>
    <t xml:space="preserve">L3-C1</t>
  </si>
  <si>
    <t xml:space="preserve">max_output_tokens per agent: Scan=1500, Classify=800, Summary-Tech=600, Summary-Exec=1200, Supervisor=150</t>
  </si>
  <si>
    <t xml:space="preserve">ai_agent.py + multi_agent_workflow.py</t>
  </si>
  <si>
    <t xml:space="preserve">D — Runaway completion tokens</t>
  </si>
  <si>
    <t xml:space="preserve">CRITICAL</t>
  </si>
  <si>
    <t xml:space="preserve">L3-C2</t>
  </si>
  <si>
    <t xml:space="preserve">File size gate: reject single file &gt;50KB before any API call</t>
  </si>
  <si>
    <t xml:space="preserve">ai_agent.py · _check_file_size()</t>
  </si>
  <si>
    <t xml:space="preserve">D — Zip bomb / oversized input</t>
  </si>
  <si>
    <t xml:space="preserve">L3-C3</t>
  </si>
  <si>
    <t xml:space="preserve">Folder total size gate: reject ZIP &gt;200KB aggregate</t>
  </si>
  <si>
    <t xml:space="preserve">ai_agent.py · analyze_path()</t>
  </si>
  <si>
    <t xml:space="preserve">D — Zip bomb across folder</t>
  </si>
  <si>
    <t xml:space="preserve">L3-C4</t>
  </si>
  <si>
    <t xml:space="preserve">tiktoken pre-flight: estimate tokens locally before API dispatch</t>
  </si>
  <si>
    <t xml:space="preserve">ai_agent.py · _estimate_tokens()</t>
  </si>
  <si>
    <t xml:space="preserve">D — Token budget overrun</t>
  </si>
  <si>
    <t xml:space="preserve">L3-C5</t>
  </si>
  <si>
    <t xml:space="preserve">Truncate input to 8,000 tokens if pre-flight estimate exceeded</t>
  </si>
  <si>
    <t xml:space="preserve">ai_agent.py · analyze_file()</t>
  </si>
  <si>
    <t xml:space="preserve">D — Single scan budget overrun</t>
  </si>
  <si>
    <t xml:space="preserve">L3-C6</t>
  </si>
  <si>
    <t xml:space="preserve">JSON mode (json_object) on ScanAgent, RiskClassifier, Supervisor</t>
  </si>
  <si>
    <t xml:space="preserve">I — Free-text inflation / parse failure</t>
  </si>
  <si>
    <t xml:space="preserve">L3-C7</t>
  </si>
  <si>
    <t xml:space="preserve">Token usage logging per agent call → token_usage.log</t>
  </si>
  <si>
    <t xml:space="preserve">ai_agent.py · _log_usage()</t>
  </si>
  <si>
    <t xml:space="preserve">R — No audit trail for billing</t>
  </si>
  <si>
    <t xml:space="preserve">L3-C8</t>
  </si>
  <si>
    <t xml:space="preserve">executive_mode flag on SummaryAgent — flex token cap by report type</t>
  </si>
  <si>
    <t xml:space="preserve">multi_agent_workflow.py · summary_agent()</t>
  </si>
  <si>
    <t xml:space="preserve">D — Executive mode token inflation</t>
  </si>
  <si>
    <t xml:space="preserve">L3-C9</t>
  </si>
  <si>
    <t xml:space="preserve">Add tiktoken to requirements.txt before Railway redeploy</t>
  </si>
  <si>
    <t xml:space="preserve">requirements.txt</t>
  </si>
  <si>
    <t xml:space="preserve">⚠ Pending</t>
  </si>
  <si>
    <t xml:space="preserve">Total Controls Implemented</t>
  </si>
  <si>
    <t xml:space="preserve">Pending / Recommended</t>
  </si>
  <si>
    <t xml:space="preserve">LAYER 1 — OpenAI Platform Controls</t>
  </si>
  <si>
    <t xml:space="preserve">Controls enforced at the account/organisation level. Last-resort hard ceiling. No code changes required.</t>
  </si>
  <si>
    <t xml:space="preserve">Control Name</t>
  </si>
  <si>
    <t xml:space="preserve">What to Do</t>
  </si>
  <si>
    <t xml:space="preserve">Where (UI Path)</t>
  </si>
  <si>
    <t xml:space="preserve">STRIDE Threat</t>
  </si>
  <si>
    <t xml:space="preserve">Monthly Budget Cap</t>
  </si>
  <si>
    <t xml:space="preserve">Set hard budget limit to $10/month in Organization → Limits → Edit Budget</t>
  </si>
  <si>
    <t xml:space="preserve">platform.openai.com → Settings → Organization → Limits</t>
  </si>
  <si>
    <t xml:space="preserve">D — Runaway spend / DoS</t>
  </si>
  <si>
    <t xml:space="preserve">50% Spend Alert</t>
  </si>
  <si>
    <t xml:space="preserve">Click 'Add alert' → set threshold at $5 (50%). Email fires before half budget gone.</t>
  </si>
  <si>
    <t xml:space="preserve">platform.openai.com → Limits → Add Alert</t>
  </si>
  <si>
    <t xml:space="preserve">D — Early warning</t>
  </si>
  <si>
    <t xml:space="preserve">100% Spend Alert</t>
  </si>
  <si>
    <t xml:space="preserve">Add alert at $10 (100%). This is the hard-stop notification.</t>
  </si>
  <si>
    <t xml:space="preserve">D — Hard stop</t>
  </si>
  <si>
    <t xml:space="preserve">80% Buffer Alert</t>
  </si>
  <si>
    <t xml:space="preserve">Add third alert at $8 (80%) — gives reaction time between 50% and hard stop.</t>
  </si>
  <si>
    <t xml:space="preserve">D — Budget headroom</t>
  </si>
  <si>
    <t xml:space="preserve">TPM Tier Check</t>
  </si>
  <si>
    <t xml:space="preserve">Verify model rate limits: gpt-4.1 = 30K TPM (lowest). Avoid if high scan volume.</t>
  </si>
  <si>
    <t xml:space="preserve">platform.openai.com → Limits → Rate Limits table</t>
  </si>
  <si>
    <t xml:space="preserve">D — TPM exhaustion</t>
  </si>
  <si>
    <t xml:space="preserve">L1-C6</t>
  </si>
  <si>
    <t xml:space="preserve">Project Scoping</t>
  </si>
  <si>
    <t xml:space="preserve">Use a dedicated Project (not Default) for Dev Guardian. Isolates spend tracking.</t>
  </si>
  <si>
    <t xml:space="preserve">platform.openai.com → Projects</t>
  </si>
  <si>
    <t xml:space="preserve">R — No billing isolation</t>
  </si>
  <si>
    <t xml:space="preserve">LAYER 2 — Model Selection per Agent</t>
  </si>
  <si>
    <t xml:space="preserve">Replace single o3-mini global with 4 purpose-scoped model constants. Files: ai_agent.py, multi_agent_workflow.py</t>
  </si>
  <si>
    <t xml:space="preserve">Agent</t>
  </si>
  <si>
    <t xml:space="preserve">Old Model</t>
  </si>
  <si>
    <t xml:space="preserve">New Model</t>
  </si>
  <si>
    <t xml:space="preserve">Constant Name</t>
  </si>
  <si>
    <t xml:space="preserve">Reason</t>
  </si>
  <si>
    <t xml:space="preserve">TPM Limit</t>
  </si>
  <si>
    <t xml:space="preserve">ScanAgent</t>
  </si>
  <si>
    <t xml:space="preserve">o3-mini</t>
  </si>
  <si>
    <t xml:space="preserve">gpt-4.1-mini</t>
  </si>
  <si>
    <t xml:space="preserve">SCAN_MODEL</t>
  </si>
  <si>
    <t xml:space="preserve">Core vuln detection — mini sufficient for testing</t>
  </si>
  <si>
    <t xml:space="preserve">200,000</t>
  </si>
  <si>
    <t xml:space="preserve">RiskClassifierAgent</t>
  </si>
  <si>
    <t xml:space="preserve">gpt-4.1-nano</t>
  </si>
  <si>
    <t xml:space="preserve">CLASSIFY_MODEL</t>
  </si>
  <si>
    <t xml:space="preserve">JSON normalisation only — nano handles structured output</t>
  </si>
  <si>
    <t xml:space="preserve">SummaryAgent</t>
  </si>
  <si>
    <t xml:space="preserve">SUMMARY_MODEL</t>
  </si>
  <si>
    <t xml:space="preserve">Narrative generation — swap to gpt-4.1 for Executive mode</t>
  </si>
  <si>
    <t xml:space="preserve">SupervisorAgent</t>
  </si>
  <si>
    <t xml:space="preserve">SUPERVISOR_MODEL</t>
  </si>
  <si>
    <t xml:space="preserve">4-option routing JSON — cheapest model more than sufficient</t>
  </si>
  <si>
    <t xml:space="preserve">Legacy alias</t>
  </si>
  <si>
    <t xml:space="preserve">= SCAN_MODEL</t>
  </si>
  <si>
    <t xml:space="preserve">MODEL_NAME</t>
  </si>
  <si>
    <t xml:space="preserve">Backward compat — external callers not broken</t>
  </si>
  <si>
    <t xml:space="preserve">💡 Estimated cost saving: o3-mini → gpt-4.1-nano/mini reduces per-agent cost by ~85–92%. Full test run (7 TCs) ≈ &lt;$0.10.</t>
  </si>
  <si>
    <t xml:space="preserve">LAYER 3 — Application-Level Controls (Threat-Modelled)</t>
  </si>
  <si>
    <t xml:space="preserve">Code changes in ai_agent.py and multi_agent_workflow.py. Each control maps to a specific STRIDE threat — no blanket blocking.</t>
  </si>
  <si>
    <t xml:space="preserve">Implementation</t>
  </si>
  <si>
    <t xml:space="preserve">File / Function</t>
  </si>
  <si>
    <t xml:space="preserve">max_output_tokens</t>
  </si>
  <si>
    <t xml:space="preserve">Hard token cap per agent call. Scan=1500, Classify=800, Summary-Tech=600, Summary-Exec=1200, Supervisor=150</t>
  </si>
  <si>
    <t xml:space="preserve">ai_agent.py + multi_agent_workflow.py · MAX_TOKENS_* constants</t>
  </si>
  <si>
    <t xml:space="preserve">D — Runaway completions</t>
  </si>
  <si>
    <t xml:space="preserve">Single File Size Gate</t>
  </si>
  <si>
    <t xml:space="preserve">Reject files &gt;50KB before any API call. Zero tokens consumed on rejection.</t>
  </si>
  <si>
    <t xml:space="preserve">ai_agent.py · _check_file_size() · MAX_SINGLE_FILE_BYTES=50,000</t>
  </si>
  <si>
    <t xml:space="preserve">D — Oversized input / zip bomb</t>
  </si>
  <si>
    <t xml:space="preserve">Folder Size Gate</t>
  </si>
  <si>
    <t xml:space="preserve">Sum all target file sizes before scan. Reject if aggregate &gt;200KB.</t>
  </si>
  <si>
    <t xml:space="preserve">ai_agent.py · analyze_path() · MAX_FOLDER_TOTAL_BYTES=200,000</t>
  </si>
  <si>
    <t xml:space="preserve">tiktoken Pre-flight</t>
  </si>
  <si>
    <t xml:space="preserve">Estimate input tokens locally (free, no API call) using cl100k_base encoding before dispatch.</t>
  </si>
  <si>
    <t xml:space="preserve">ai_agent.py · _estimate_tokens() · tiktoken library</t>
  </si>
  <si>
    <t xml:space="preserve">Input Truncation</t>
  </si>
  <si>
    <t xml:space="preserve">If pre-flight estimate exceeds 8,000 tokens, truncate content to limit. Partial analysis runs — no hard reject.</t>
  </si>
  <si>
    <t xml:space="preserve">ai_agent.py · analyze_file() · MAX_INPUT_TOKENS_PER_FILE=8,000</t>
  </si>
  <si>
    <t xml:space="preserve">JSON Mode Enforcement</t>
  </si>
  <si>
    <t xml:space="preserve">Set text={format:{type:json_object}} on ScanAgent, RiskClassifier, Supervisor. Forces valid JSON, eliminates free-text bloat.</t>
  </si>
  <si>
    <t xml:space="preserve">ai_agent.py + multi_agent_workflow.py · text= parameter</t>
  </si>
  <si>
    <t xml:space="preserve">I — Free-text inflation</t>
  </si>
  <si>
    <t xml:space="preserve">Token Usage Logging</t>
  </si>
  <si>
    <t xml:space="preserve">Log prompt_tokens + completion_tokens per agent call to token_usage.log. Audit trail for client billing.</t>
  </si>
  <si>
    <t xml:space="preserve">ai_agent.py · _log_usage() · token_usage.log</t>
  </si>
  <si>
    <t xml:space="preserve">R — No billing audit trail</t>
  </si>
  <si>
    <t xml:space="preserve">executive_mode Flag</t>
  </si>
  <si>
    <t xml:space="preserve">SummaryAgent accepts executive_mode: bool. True → 1200 token cap + narrative. False → 600 token cap + concise technical.</t>
  </si>
  <si>
    <t xml:space="preserve">multi_agent_workflow.py · summary_agent(executive_mode=False)</t>
  </si>
  <si>
    <t xml:space="preserve">D — Executive mode inflation</t>
  </si>
  <si>
    <t xml:space="preserve">tiktoken Dependency</t>
  </si>
  <si>
    <t xml:space="preserve">Add 'tiktoken' to requirements.txt before Railway redeploy. Without this, import fails and all scans break.</t>
  </si>
  <si>
    <t xml:space="preserve">TOKEN BUDGET CALCULATOR — Dev Guardian Test Sessions</t>
  </si>
  <si>
    <t xml:space="preserve">MODEL PRICING (per 1M tokens) — gpt-4.1-mini</t>
  </si>
  <si>
    <t xml:space="preserve">Input tokens</t>
  </si>
  <si>
    <t xml:space="preserve">$0.40</t>
  </si>
  <si>
    <t xml:space="preserve">Output tokens</t>
  </si>
  <si>
    <t xml:space="preserve">$1.60</t>
  </si>
  <si>
    <t xml:space="preserve">Model</t>
  </si>
  <si>
    <t xml:space="preserve">Avg Input Tokens</t>
  </si>
  <si>
    <t xml:space="preserve">Avg Output Tokens</t>
  </si>
  <si>
    <t xml:space="preserve">Cost per Call ($)</t>
  </si>
  <si>
    <t xml:space="preserve">Calls per Full Run</t>
  </si>
  <si>
    <t xml:space="preserve">Estimated cost per full test run (7 TCs, all agents)</t>
  </si>
  <si>
    <t xml:space="preserve">With $10 monthly budget → estimated test runs before budget exhausted:</t>
  </si>
  <si>
    <t xml:space="preserve">Max runs on $10 budget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</si>
</sst>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1F5F9"/>
      <name val="Arial"/>
      <family val="0"/>
      <charset val="1"/>
    </font>
    <font>
      <sz val="10"/>
      <color rgb="FFCBD5E1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F1F5F9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b val="true"/>
      <sz val="12"/>
      <color rgb="FFF97316"/>
      <name val="Arial"/>
      <family val="0"/>
      <charset val="1"/>
    </font>
    <font>
      <b val="true"/>
      <sz val="14"/>
      <color rgb="FFF1F5F9"/>
      <name val="Arial"/>
      <family val="0"/>
      <charset val="1"/>
    </font>
    <font>
      <sz val="9"/>
      <color rgb="FFCBD5E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0B981"/>
      <name val="Arial"/>
      <family val="0"/>
      <charset val="1"/>
    </font>
    <font>
      <i val="true"/>
      <sz val="9"/>
      <color rgb="FF0F3D2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0B98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0B981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628"/>
        <bgColor rgb="FF0F2744"/>
      </patternFill>
    </fill>
    <fill>
      <patternFill patternType="solid">
        <fgColor rgb="FF3B82F6"/>
        <bgColor rgb="FF0066CC"/>
      </patternFill>
    </fill>
    <fill>
      <patternFill patternType="solid">
        <fgColor rgb="FF0F2744"/>
        <bgColor rgb="FF1E293B"/>
      </patternFill>
    </fill>
    <fill>
      <patternFill patternType="solid">
        <fgColor rgb="FFF8FAFC"/>
        <bgColor rgb="FFFAF5FF"/>
      </patternFill>
    </fill>
    <fill>
      <patternFill patternType="solid">
        <fgColor rgb="FF10B981"/>
        <bgColor rgb="FF33CCCC"/>
      </patternFill>
    </fill>
    <fill>
      <patternFill patternType="solid">
        <fgColor rgb="FF731622"/>
        <bgColor rgb="FF9E0B22"/>
      </patternFill>
    </fill>
    <fill>
      <patternFill patternType="solid">
        <fgColor rgb="FFFFFFFF"/>
        <bgColor rgb="FFF8FAFC"/>
      </patternFill>
    </fill>
    <fill>
      <patternFill patternType="solid">
        <fgColor rgb="FFF59E0B"/>
        <bgColor rgb="FFF97316"/>
      </patternFill>
    </fill>
    <fill>
      <patternFill patternType="solid">
        <fgColor rgb="FF9E0B22"/>
        <bgColor rgb="FF731622"/>
      </patternFill>
    </fill>
    <fill>
      <patternFill patternType="solid">
        <fgColor rgb="FF0F3D2B"/>
        <bgColor rgb="FF1E293B"/>
      </patternFill>
    </fill>
    <fill>
      <patternFill patternType="solid">
        <fgColor rgb="FF748B22"/>
        <bgColor rgb="FF808080"/>
      </patternFill>
    </fill>
    <fill>
      <patternFill patternType="solid">
        <fgColor rgb="FF2D1B4E"/>
        <bgColor rgb="FF1E293B"/>
      </patternFill>
    </fill>
    <fill>
      <patternFill patternType="solid">
        <fgColor rgb="FFA855F7"/>
        <bgColor rgb="FF993366"/>
      </patternFill>
    </fill>
    <fill>
      <patternFill patternType="solid">
        <fgColor rgb="FF444422"/>
        <bgColor rgb="FF0F3D2B"/>
      </patternFill>
    </fill>
    <fill>
      <patternFill patternType="solid">
        <fgColor rgb="FFEF4444"/>
        <bgColor rgb="FFF97316"/>
      </patternFill>
    </fill>
    <fill>
      <patternFill patternType="solid">
        <fgColor rgb="FF1E293B"/>
        <bgColor rgb="FF0F2744"/>
      </patternFill>
    </fill>
    <fill>
      <patternFill patternType="solid">
        <fgColor rgb="FFEFF6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D1FAE5"/>
        <bgColor rgb="FFF0FDF4"/>
      </patternFill>
    </fill>
    <fill>
      <patternFill patternType="solid">
        <fgColor rgb="FFFAF5FF"/>
        <bgColor rgb="FFF8FAFC"/>
      </patternFill>
    </fill>
    <fill>
      <patternFill patternType="solid">
        <fgColor rgb="FF92400E"/>
        <bgColor rgb="FF993366"/>
      </patternFill>
    </fill>
    <fill>
      <patternFill patternType="solid">
        <fgColor rgb="FFFFFBEB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31622"/>
      <rgbColor rgb="FF008000"/>
      <rgbColor rgb="FF0D1628"/>
      <rgbColor rgb="FF748B22"/>
      <rgbColor rgb="FF800080"/>
      <rgbColor rgb="FF008080"/>
      <rgbColor rgb="FFFAF5FF"/>
      <rgbColor rgb="FF808080"/>
      <rgbColor rgb="FFA855F7"/>
      <rgbColor rgb="FFEF4444"/>
      <rgbColor rgb="FFFFFBEB"/>
      <rgbColor rgb="FFF0FDF4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9E0B22"/>
      <rgbColor rgb="FF008080"/>
      <rgbColor rgb="FF0000FF"/>
      <rgbColor rgb="FF00CCFF"/>
      <rgbColor rgb="FFEFF6FF"/>
      <rgbColor rgb="FFD1FAE5"/>
      <rgbColor rgb="FFF8FAFC"/>
      <rgbColor rgb="FF99CCFF"/>
      <rgbColor rgb="FFFF99CC"/>
      <rgbColor rgb="FFCC99FF"/>
      <rgbColor rgb="FFF1F5F9"/>
      <rgbColor rgb="FF3B82F6"/>
      <rgbColor rgb="FF33CCCC"/>
      <rgbColor rgb="FF99CC00"/>
      <rgbColor rgb="FFFFCC00"/>
      <rgbColor rgb="FFF59E0B"/>
      <rgbColor rgb="FFF97316"/>
      <rgbColor rgb="FF64748B"/>
      <rgbColor rgb="FF969696"/>
      <rgbColor rgb="FF0F2744"/>
      <rgbColor rgb="FF10B981"/>
      <rgbColor rgb="FF0F3D2B"/>
      <rgbColor rgb="FF444422"/>
      <rgbColor rgb="FF92400E"/>
      <rgbColor rgb="FF993366"/>
      <rgbColor rgb="FF2D1B4E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38"/>
    <col collapsed="false" customWidth="true" hidden="false" outlineLevel="0" max="5" min="5" style="1" width="28"/>
    <col collapsed="false" customWidth="true" hidden="false" outlineLevel="0" max="8" min="6" style="1" width="18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9.75" hidden="false" customHeight="true" outlineLevel="0" collapsed="false"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customFormat="false" ht="37.5" hidden="false" customHeight="true" outlineLevel="0" collapsed="false">
      <c r="A6" s="7"/>
      <c r="B6" s="8" t="s">
        <v>9</v>
      </c>
      <c r="C6" s="9" t="s">
        <v>10</v>
      </c>
      <c r="D6" s="10" t="s">
        <v>11</v>
      </c>
      <c r="E6" s="10" t="s">
        <v>12</v>
      </c>
      <c r="F6" s="11" t="s">
        <v>13</v>
      </c>
      <c r="G6" s="12" t="s">
        <v>14</v>
      </c>
      <c r="H6" s="13" t="s">
        <v>15</v>
      </c>
    </row>
    <row r="7" customFormat="false" ht="37.5" hidden="false" customHeight="true" outlineLevel="0" collapsed="false">
      <c r="A7" s="7"/>
      <c r="B7" s="8" t="s">
        <v>9</v>
      </c>
      <c r="C7" s="14" t="s">
        <v>16</v>
      </c>
      <c r="D7" s="15" t="s">
        <v>17</v>
      </c>
      <c r="E7" s="15" t="s">
        <v>12</v>
      </c>
      <c r="F7" s="16" t="s">
        <v>18</v>
      </c>
      <c r="G7" s="12" t="s">
        <v>14</v>
      </c>
      <c r="H7" s="13" t="s">
        <v>15</v>
      </c>
    </row>
    <row r="8" customFormat="false" ht="37.5" hidden="false" customHeight="true" outlineLevel="0" collapsed="false">
      <c r="A8" s="7"/>
      <c r="B8" s="8" t="s">
        <v>9</v>
      </c>
      <c r="C8" s="9" t="s">
        <v>19</v>
      </c>
      <c r="D8" s="10" t="s">
        <v>20</v>
      </c>
      <c r="E8" s="10" t="s">
        <v>12</v>
      </c>
      <c r="F8" s="11" t="s">
        <v>21</v>
      </c>
      <c r="G8" s="12" t="s">
        <v>14</v>
      </c>
      <c r="H8" s="13" t="s">
        <v>15</v>
      </c>
    </row>
    <row r="9" customFormat="false" ht="37.5" hidden="false" customHeight="true" outlineLevel="0" collapsed="false">
      <c r="A9" s="7"/>
      <c r="B9" s="8" t="s">
        <v>9</v>
      </c>
      <c r="C9" s="14" t="s">
        <v>22</v>
      </c>
      <c r="D9" s="15" t="s">
        <v>23</v>
      </c>
      <c r="E9" s="15" t="s">
        <v>12</v>
      </c>
      <c r="F9" s="16" t="s">
        <v>24</v>
      </c>
      <c r="G9" s="17" t="s">
        <v>25</v>
      </c>
      <c r="H9" s="18" t="s">
        <v>26</v>
      </c>
    </row>
    <row r="10" customFormat="false" ht="37.5" hidden="false" customHeight="true" outlineLevel="0" collapsed="false">
      <c r="A10" s="7"/>
      <c r="B10" s="8" t="s">
        <v>9</v>
      </c>
      <c r="C10" s="9" t="s">
        <v>27</v>
      </c>
      <c r="D10" s="10" t="s">
        <v>28</v>
      </c>
      <c r="E10" s="10" t="s">
        <v>29</v>
      </c>
      <c r="F10" s="11" t="s">
        <v>30</v>
      </c>
      <c r="G10" s="17" t="s">
        <v>31</v>
      </c>
      <c r="H10" s="18" t="s">
        <v>26</v>
      </c>
    </row>
    <row r="11" customFormat="false" ht="37.5" hidden="false" customHeight="true" outlineLevel="0" collapsed="false">
      <c r="A11" s="19"/>
      <c r="B11" s="20" t="s">
        <v>32</v>
      </c>
      <c r="C11" s="14" t="s">
        <v>33</v>
      </c>
      <c r="D11" s="15" t="s">
        <v>34</v>
      </c>
      <c r="E11" s="15" t="s">
        <v>35</v>
      </c>
      <c r="F11" s="16" t="s">
        <v>36</v>
      </c>
      <c r="G11" s="12" t="s">
        <v>14</v>
      </c>
      <c r="H11" s="13" t="s">
        <v>15</v>
      </c>
    </row>
    <row r="12" customFormat="false" ht="37.5" hidden="false" customHeight="true" outlineLevel="0" collapsed="false">
      <c r="A12" s="19"/>
      <c r="B12" s="20" t="s">
        <v>32</v>
      </c>
      <c r="C12" s="9" t="s">
        <v>37</v>
      </c>
      <c r="D12" s="10" t="s">
        <v>38</v>
      </c>
      <c r="E12" s="10" t="s">
        <v>39</v>
      </c>
      <c r="F12" s="11" t="s">
        <v>40</v>
      </c>
      <c r="G12" s="12" t="s">
        <v>14</v>
      </c>
      <c r="H12" s="13" t="s">
        <v>15</v>
      </c>
    </row>
    <row r="13" customFormat="false" ht="37.5" hidden="false" customHeight="true" outlineLevel="0" collapsed="false">
      <c r="A13" s="19"/>
      <c r="B13" s="20" t="s">
        <v>32</v>
      </c>
      <c r="C13" s="14" t="s">
        <v>41</v>
      </c>
      <c r="D13" s="15" t="s">
        <v>42</v>
      </c>
      <c r="E13" s="15" t="s">
        <v>43</v>
      </c>
      <c r="F13" s="16" t="s">
        <v>44</v>
      </c>
      <c r="G13" s="12" t="s">
        <v>14</v>
      </c>
      <c r="H13" s="13" t="s">
        <v>15</v>
      </c>
    </row>
    <row r="14" customFormat="false" ht="37.5" hidden="false" customHeight="true" outlineLevel="0" collapsed="false">
      <c r="A14" s="19"/>
      <c r="B14" s="20" t="s">
        <v>32</v>
      </c>
      <c r="C14" s="9" t="s">
        <v>45</v>
      </c>
      <c r="D14" s="10" t="s">
        <v>46</v>
      </c>
      <c r="E14" s="10" t="s">
        <v>47</v>
      </c>
      <c r="F14" s="11" t="s">
        <v>48</v>
      </c>
      <c r="G14" s="12" t="s">
        <v>14</v>
      </c>
      <c r="H14" s="18" t="s">
        <v>26</v>
      </c>
    </row>
    <row r="15" customFormat="false" ht="37.5" hidden="false" customHeight="true" outlineLevel="0" collapsed="false">
      <c r="A15" s="19"/>
      <c r="B15" s="20" t="s">
        <v>32</v>
      </c>
      <c r="C15" s="14" t="s">
        <v>49</v>
      </c>
      <c r="D15" s="15" t="s">
        <v>50</v>
      </c>
      <c r="E15" s="15" t="s">
        <v>51</v>
      </c>
      <c r="F15" s="16" t="s">
        <v>52</v>
      </c>
      <c r="G15" s="12" t="s">
        <v>14</v>
      </c>
      <c r="H15" s="18" t="s">
        <v>26</v>
      </c>
    </row>
    <row r="16" customFormat="false" ht="37.5" hidden="false" customHeight="true" outlineLevel="0" collapsed="false">
      <c r="A16" s="19"/>
      <c r="B16" s="20" t="s">
        <v>32</v>
      </c>
      <c r="C16" s="9" t="s">
        <v>53</v>
      </c>
      <c r="D16" s="10" t="s">
        <v>54</v>
      </c>
      <c r="E16" s="10" t="s">
        <v>35</v>
      </c>
      <c r="F16" s="11" t="s">
        <v>55</v>
      </c>
      <c r="G16" s="12" t="s">
        <v>14</v>
      </c>
      <c r="H16" s="21" t="s">
        <v>56</v>
      </c>
    </row>
    <row r="17" customFormat="false" ht="37.5" hidden="false" customHeight="true" outlineLevel="0" collapsed="false">
      <c r="A17" s="22"/>
      <c r="B17" s="23" t="s">
        <v>57</v>
      </c>
      <c r="C17" s="14" t="s">
        <v>58</v>
      </c>
      <c r="D17" s="15" t="s">
        <v>59</v>
      </c>
      <c r="E17" s="15" t="s">
        <v>60</v>
      </c>
      <c r="F17" s="16" t="s">
        <v>61</v>
      </c>
      <c r="G17" s="12" t="s">
        <v>14</v>
      </c>
      <c r="H17" s="24" t="s">
        <v>62</v>
      </c>
    </row>
    <row r="18" customFormat="false" ht="37.5" hidden="false" customHeight="true" outlineLevel="0" collapsed="false">
      <c r="A18" s="22"/>
      <c r="B18" s="23" t="s">
        <v>57</v>
      </c>
      <c r="C18" s="9" t="s">
        <v>63</v>
      </c>
      <c r="D18" s="10" t="s">
        <v>64</v>
      </c>
      <c r="E18" s="10" t="s">
        <v>65</v>
      </c>
      <c r="F18" s="11" t="s">
        <v>66</v>
      </c>
      <c r="G18" s="12" t="s">
        <v>14</v>
      </c>
      <c r="H18" s="24" t="s">
        <v>62</v>
      </c>
    </row>
    <row r="19" customFormat="false" ht="37.5" hidden="false" customHeight="true" outlineLevel="0" collapsed="false">
      <c r="A19" s="22"/>
      <c r="B19" s="23" t="s">
        <v>57</v>
      </c>
      <c r="C19" s="14" t="s">
        <v>67</v>
      </c>
      <c r="D19" s="15" t="s">
        <v>68</v>
      </c>
      <c r="E19" s="15" t="s">
        <v>69</v>
      </c>
      <c r="F19" s="16" t="s">
        <v>70</v>
      </c>
      <c r="G19" s="12" t="s">
        <v>14</v>
      </c>
      <c r="H19" s="24" t="s">
        <v>62</v>
      </c>
    </row>
    <row r="20" customFormat="false" ht="37.5" hidden="false" customHeight="true" outlineLevel="0" collapsed="false">
      <c r="A20" s="22"/>
      <c r="B20" s="23" t="s">
        <v>57</v>
      </c>
      <c r="C20" s="9" t="s">
        <v>71</v>
      </c>
      <c r="D20" s="10" t="s">
        <v>72</v>
      </c>
      <c r="E20" s="10" t="s">
        <v>73</v>
      </c>
      <c r="F20" s="11" t="s">
        <v>74</v>
      </c>
      <c r="G20" s="12" t="s">
        <v>14</v>
      </c>
      <c r="H20" s="13" t="s">
        <v>15</v>
      </c>
    </row>
    <row r="21" customFormat="false" ht="37.5" hidden="false" customHeight="true" outlineLevel="0" collapsed="false">
      <c r="A21" s="22"/>
      <c r="B21" s="23" t="s">
        <v>57</v>
      </c>
      <c r="C21" s="14" t="s">
        <v>75</v>
      </c>
      <c r="D21" s="15" t="s">
        <v>76</v>
      </c>
      <c r="E21" s="15" t="s">
        <v>77</v>
      </c>
      <c r="F21" s="16" t="s">
        <v>78</v>
      </c>
      <c r="G21" s="12" t="s">
        <v>14</v>
      </c>
      <c r="H21" s="13" t="s">
        <v>15</v>
      </c>
    </row>
    <row r="22" customFormat="false" ht="37.5" hidden="false" customHeight="true" outlineLevel="0" collapsed="false">
      <c r="A22" s="22"/>
      <c r="B22" s="23" t="s">
        <v>57</v>
      </c>
      <c r="C22" s="9" t="s">
        <v>79</v>
      </c>
      <c r="D22" s="10" t="s">
        <v>80</v>
      </c>
      <c r="E22" s="10" t="s">
        <v>60</v>
      </c>
      <c r="F22" s="11" t="s">
        <v>81</v>
      </c>
      <c r="G22" s="12" t="s">
        <v>14</v>
      </c>
      <c r="H22" s="13" t="s">
        <v>15</v>
      </c>
    </row>
    <row r="23" customFormat="false" ht="37.5" hidden="false" customHeight="true" outlineLevel="0" collapsed="false">
      <c r="A23" s="22"/>
      <c r="B23" s="23" t="s">
        <v>57</v>
      </c>
      <c r="C23" s="14" t="s">
        <v>82</v>
      </c>
      <c r="D23" s="15" t="s">
        <v>83</v>
      </c>
      <c r="E23" s="15" t="s">
        <v>84</v>
      </c>
      <c r="F23" s="16" t="s">
        <v>85</v>
      </c>
      <c r="G23" s="12" t="s">
        <v>14</v>
      </c>
      <c r="H23" s="13" t="s">
        <v>15</v>
      </c>
    </row>
    <row r="24" customFormat="false" ht="37.5" hidden="false" customHeight="true" outlineLevel="0" collapsed="false">
      <c r="A24" s="22"/>
      <c r="B24" s="23" t="s">
        <v>57</v>
      </c>
      <c r="C24" s="9" t="s">
        <v>86</v>
      </c>
      <c r="D24" s="10" t="s">
        <v>87</v>
      </c>
      <c r="E24" s="10" t="s">
        <v>88</v>
      </c>
      <c r="F24" s="11" t="s">
        <v>89</v>
      </c>
      <c r="G24" s="12" t="s">
        <v>14</v>
      </c>
      <c r="H24" s="18" t="s">
        <v>26</v>
      </c>
    </row>
    <row r="25" customFormat="false" ht="37.5" hidden="false" customHeight="true" outlineLevel="0" collapsed="false">
      <c r="A25" s="22"/>
      <c r="B25" s="23" t="s">
        <v>57</v>
      </c>
      <c r="C25" s="14" t="s">
        <v>90</v>
      </c>
      <c r="D25" s="15" t="s">
        <v>91</v>
      </c>
      <c r="E25" s="15" t="s">
        <v>92</v>
      </c>
      <c r="F25" s="16" t="s">
        <v>55</v>
      </c>
      <c r="G25" s="25" t="s">
        <v>93</v>
      </c>
      <c r="H25" s="13" t="s">
        <v>15</v>
      </c>
    </row>
    <row r="26" customFormat="false" ht="19.5" hidden="false" customHeight="true" outlineLevel="0" collapsed="false"/>
    <row r="27" customFormat="false" ht="12" hidden="false" customHeight="true" outlineLevel="0" collapsed="false"/>
    <row r="28" customFormat="false" ht="27.75" hidden="false" customHeight="true" outlineLevel="0" collapsed="false">
      <c r="B28" s="26" t="s">
        <v>94</v>
      </c>
      <c r="C28" s="26"/>
      <c r="D28" s="27" t="n">
        <f aca="false">COUNTIF(G6:G25,"✅ Done")</f>
        <v>17</v>
      </c>
      <c r="E28" s="26" t="s">
        <v>95</v>
      </c>
      <c r="F28" s="26"/>
      <c r="G28" s="28" t="n">
        <f aca="false">COUNTIF(G6:G25,"⚠*")</f>
        <v>3</v>
      </c>
    </row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4">
    <mergeCell ref="B2:H2"/>
    <mergeCell ref="B3:H3"/>
    <mergeCell ref="B28:C28"/>
    <mergeCell ref="E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2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42"/>
    <col collapsed="false" customWidth="true" hidden="false" outlineLevel="0" max="5" min="5" style="1" width="30"/>
    <col collapsed="false" customWidth="true" hidden="false" outlineLevel="0" max="6" min="6" style="1" width="20"/>
    <col collapsed="false" customWidth="true" hidden="false" outlineLevel="0" max="7" min="7" style="1" width="16"/>
  </cols>
  <sheetData>
    <row r="2" customFormat="false" ht="31.5" hidden="false" customHeight="true" outlineLevel="0" collapsed="false">
      <c r="B2" s="29" t="s">
        <v>96</v>
      </c>
      <c r="C2" s="29"/>
      <c r="D2" s="29"/>
      <c r="E2" s="29"/>
      <c r="F2" s="29"/>
      <c r="G2" s="29"/>
    </row>
    <row r="3" customFormat="false" ht="18" hidden="false" customHeight="true" outlineLevel="0" collapsed="false">
      <c r="B3" s="30" t="s">
        <v>97</v>
      </c>
      <c r="C3" s="30"/>
      <c r="D3" s="30"/>
      <c r="E3" s="30"/>
      <c r="F3" s="30"/>
      <c r="G3" s="30"/>
    </row>
    <row r="4" customFormat="false" ht="27.75" hidden="false" customHeight="true" outlineLevel="0" collapsed="false">
      <c r="A4" s="6"/>
      <c r="B4" s="6" t="s">
        <v>3</v>
      </c>
      <c r="C4" s="6" t="s">
        <v>98</v>
      </c>
      <c r="D4" s="6" t="s">
        <v>99</v>
      </c>
      <c r="E4" s="6" t="s">
        <v>100</v>
      </c>
      <c r="F4" s="6" t="s">
        <v>101</v>
      </c>
      <c r="G4" s="6" t="s">
        <v>7</v>
      </c>
    </row>
    <row r="5" customFormat="false" ht="42" hidden="false" customHeight="true" outlineLevel="0" collapsed="false">
      <c r="A5" s="31"/>
      <c r="B5" s="32" t="s">
        <v>10</v>
      </c>
      <c r="C5" s="33" t="s">
        <v>102</v>
      </c>
      <c r="D5" s="33" t="s">
        <v>103</v>
      </c>
      <c r="E5" s="33" t="s">
        <v>104</v>
      </c>
      <c r="F5" s="34" t="s">
        <v>105</v>
      </c>
      <c r="G5" s="35" t="s">
        <v>14</v>
      </c>
    </row>
    <row r="6" customFormat="false" ht="42" hidden="false" customHeight="true" outlineLevel="0" collapsed="false">
      <c r="A6" s="31"/>
      <c r="B6" s="36" t="s">
        <v>16</v>
      </c>
      <c r="C6" s="37" t="s">
        <v>106</v>
      </c>
      <c r="D6" s="37" t="s">
        <v>107</v>
      </c>
      <c r="E6" s="37" t="s">
        <v>108</v>
      </c>
      <c r="F6" s="38" t="s">
        <v>109</v>
      </c>
      <c r="G6" s="39" t="s">
        <v>14</v>
      </c>
    </row>
    <row r="7" customFormat="false" ht="42" hidden="false" customHeight="true" outlineLevel="0" collapsed="false">
      <c r="A7" s="31"/>
      <c r="B7" s="32" t="s">
        <v>19</v>
      </c>
      <c r="C7" s="33" t="s">
        <v>110</v>
      </c>
      <c r="D7" s="33" t="s">
        <v>111</v>
      </c>
      <c r="E7" s="33" t="s">
        <v>108</v>
      </c>
      <c r="F7" s="34" t="s">
        <v>112</v>
      </c>
      <c r="G7" s="35" t="s">
        <v>14</v>
      </c>
    </row>
    <row r="8" customFormat="false" ht="42" hidden="false" customHeight="true" outlineLevel="0" collapsed="false">
      <c r="A8" s="31"/>
      <c r="B8" s="36" t="s">
        <v>22</v>
      </c>
      <c r="C8" s="37" t="s">
        <v>113</v>
      </c>
      <c r="D8" s="37" t="s">
        <v>114</v>
      </c>
      <c r="E8" s="37" t="s">
        <v>108</v>
      </c>
      <c r="F8" s="38" t="s">
        <v>115</v>
      </c>
      <c r="G8" s="40" t="s">
        <v>25</v>
      </c>
    </row>
    <row r="9" customFormat="false" ht="42" hidden="false" customHeight="true" outlineLevel="0" collapsed="false">
      <c r="A9" s="31"/>
      <c r="B9" s="32" t="s">
        <v>27</v>
      </c>
      <c r="C9" s="33" t="s">
        <v>116</v>
      </c>
      <c r="D9" s="33" t="s">
        <v>117</v>
      </c>
      <c r="E9" s="33" t="s">
        <v>118</v>
      </c>
      <c r="F9" s="34" t="s">
        <v>119</v>
      </c>
      <c r="G9" s="41" t="s">
        <v>31</v>
      </c>
    </row>
    <row r="10" customFormat="false" ht="42" hidden="false" customHeight="true" outlineLevel="0" collapsed="false">
      <c r="A10" s="31"/>
      <c r="B10" s="36" t="s">
        <v>120</v>
      </c>
      <c r="C10" s="37" t="s">
        <v>121</v>
      </c>
      <c r="D10" s="37" t="s">
        <v>122</v>
      </c>
      <c r="E10" s="37" t="s">
        <v>123</v>
      </c>
      <c r="F10" s="38" t="s">
        <v>124</v>
      </c>
      <c r="G10" s="40" t="s">
        <v>25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2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6" min="5" style="1" width="22"/>
    <col collapsed="false" customWidth="true" hidden="false" outlineLevel="0" max="7" min="7" style="1" width="18"/>
    <col collapsed="false" customWidth="true" hidden="false" outlineLevel="0" max="8" min="8" style="1" width="16"/>
  </cols>
  <sheetData>
    <row r="2" customFormat="false" ht="31.5" hidden="false" customHeight="true" outlineLevel="0" collapsed="false">
      <c r="B2" s="42" t="s">
        <v>125</v>
      </c>
      <c r="C2" s="42"/>
      <c r="D2" s="42"/>
      <c r="E2" s="42"/>
      <c r="F2" s="42"/>
      <c r="G2" s="42"/>
      <c r="H2" s="42"/>
    </row>
    <row r="3" customFormat="false" ht="18" hidden="false" customHeight="true" outlineLevel="0" collapsed="false">
      <c r="B3" s="43" t="s">
        <v>126</v>
      </c>
      <c r="C3" s="43"/>
      <c r="D3" s="43"/>
      <c r="E3" s="43"/>
      <c r="F3" s="43"/>
      <c r="G3" s="43"/>
      <c r="H3" s="43"/>
    </row>
    <row r="4" customFormat="false" ht="27.75" hidden="false" customHeight="true" outlineLevel="0" collapsed="false">
      <c r="A4" s="44"/>
      <c r="B4" s="44" t="s">
        <v>127</v>
      </c>
      <c r="C4" s="44" t="s">
        <v>128</v>
      </c>
      <c r="D4" s="44" t="s">
        <v>129</v>
      </c>
      <c r="E4" s="44" t="s">
        <v>130</v>
      </c>
      <c r="F4" s="44" t="s">
        <v>131</v>
      </c>
      <c r="G4" s="44" t="s">
        <v>132</v>
      </c>
      <c r="H4" s="44" t="s">
        <v>7</v>
      </c>
    </row>
    <row r="5" customFormat="false" ht="42" hidden="false" customHeight="true" outlineLevel="0" collapsed="false">
      <c r="A5" s="45"/>
      <c r="B5" s="32" t="s">
        <v>133</v>
      </c>
      <c r="C5" s="46" t="s">
        <v>134</v>
      </c>
      <c r="D5" s="35" t="s">
        <v>135</v>
      </c>
      <c r="E5" s="34" t="s">
        <v>136</v>
      </c>
      <c r="F5" s="33" t="s">
        <v>137</v>
      </c>
      <c r="G5" s="34" t="s">
        <v>138</v>
      </c>
      <c r="H5" s="35" t="s">
        <v>14</v>
      </c>
    </row>
    <row r="6" customFormat="false" ht="42" hidden="false" customHeight="true" outlineLevel="0" collapsed="false">
      <c r="A6" s="45"/>
      <c r="B6" s="47" t="s">
        <v>139</v>
      </c>
      <c r="C6" s="48" t="s">
        <v>134</v>
      </c>
      <c r="D6" s="49" t="s">
        <v>140</v>
      </c>
      <c r="E6" s="50" t="s">
        <v>141</v>
      </c>
      <c r="F6" s="51" t="s">
        <v>142</v>
      </c>
      <c r="G6" s="50" t="s">
        <v>138</v>
      </c>
      <c r="H6" s="49" t="s">
        <v>14</v>
      </c>
    </row>
    <row r="7" customFormat="false" ht="42" hidden="false" customHeight="true" outlineLevel="0" collapsed="false">
      <c r="A7" s="45"/>
      <c r="B7" s="32" t="s">
        <v>143</v>
      </c>
      <c r="C7" s="46" t="s">
        <v>134</v>
      </c>
      <c r="D7" s="35" t="s">
        <v>135</v>
      </c>
      <c r="E7" s="34" t="s">
        <v>144</v>
      </c>
      <c r="F7" s="33" t="s">
        <v>145</v>
      </c>
      <c r="G7" s="34" t="s">
        <v>138</v>
      </c>
      <c r="H7" s="35" t="s">
        <v>14</v>
      </c>
    </row>
    <row r="8" customFormat="false" ht="42" hidden="false" customHeight="true" outlineLevel="0" collapsed="false">
      <c r="A8" s="45"/>
      <c r="B8" s="47" t="s">
        <v>146</v>
      </c>
      <c r="C8" s="48" t="s">
        <v>134</v>
      </c>
      <c r="D8" s="49" t="s">
        <v>140</v>
      </c>
      <c r="E8" s="50" t="s">
        <v>147</v>
      </c>
      <c r="F8" s="51" t="s">
        <v>148</v>
      </c>
      <c r="G8" s="50" t="s">
        <v>138</v>
      </c>
      <c r="H8" s="49" t="s">
        <v>14</v>
      </c>
    </row>
    <row r="9" customFormat="false" ht="42" hidden="false" customHeight="true" outlineLevel="0" collapsed="false">
      <c r="A9" s="45"/>
      <c r="B9" s="32" t="s">
        <v>149</v>
      </c>
      <c r="C9" s="46" t="s">
        <v>134</v>
      </c>
      <c r="D9" s="35" t="s">
        <v>150</v>
      </c>
      <c r="E9" s="34" t="s">
        <v>151</v>
      </c>
      <c r="F9" s="33" t="s">
        <v>152</v>
      </c>
      <c r="G9" s="34" t="s">
        <v>55</v>
      </c>
      <c r="H9" s="35" t="s">
        <v>14</v>
      </c>
    </row>
    <row r="10" customFormat="false" ht="12" hidden="false" customHeight="true" outlineLevel="0" collapsed="false"/>
    <row r="11" customFormat="false" ht="21.75" hidden="false" customHeight="true" outlineLevel="0" collapsed="false">
      <c r="B11" s="52" t="s">
        <v>153</v>
      </c>
      <c r="C11" s="52"/>
      <c r="D11" s="52"/>
      <c r="E11" s="52"/>
      <c r="F11" s="52"/>
      <c r="G11" s="52"/>
      <c r="H11" s="52"/>
    </row>
  </sheetData>
  <mergeCells count="3">
    <mergeCell ref="B2:H2"/>
    <mergeCell ref="B3:H3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28"/>
    <col collapsed="false" customWidth="true" hidden="false" outlineLevel="0" max="6" min="6" style="1" width="22"/>
    <col collapsed="false" customWidth="true" hidden="false" outlineLevel="0" max="8" min="7" style="1" width="16"/>
  </cols>
  <sheetData>
    <row r="2" customFormat="false" ht="31.5" hidden="false" customHeight="true" outlineLevel="0" collapsed="false">
      <c r="B2" s="53" t="s">
        <v>154</v>
      </c>
      <c r="C2" s="53"/>
      <c r="D2" s="53"/>
      <c r="E2" s="53"/>
      <c r="F2" s="53"/>
      <c r="G2" s="53"/>
      <c r="H2" s="53"/>
    </row>
    <row r="3" customFormat="false" ht="18" hidden="false" customHeight="true" outlineLevel="0" collapsed="false">
      <c r="B3" s="54" t="s">
        <v>155</v>
      </c>
      <c r="C3" s="54"/>
      <c r="D3" s="54"/>
      <c r="E3" s="54"/>
      <c r="F3" s="54"/>
      <c r="G3" s="54"/>
      <c r="H3" s="54"/>
    </row>
    <row r="4" customFormat="false" ht="27.75" hidden="false" customHeight="true" outlineLevel="0" collapsed="false">
      <c r="A4" s="55"/>
      <c r="B4" s="55" t="s">
        <v>3</v>
      </c>
      <c r="C4" s="55" t="s">
        <v>98</v>
      </c>
      <c r="D4" s="55" t="s">
        <v>156</v>
      </c>
      <c r="E4" s="55" t="s">
        <v>157</v>
      </c>
      <c r="F4" s="55" t="s">
        <v>101</v>
      </c>
      <c r="G4" s="55" t="s">
        <v>8</v>
      </c>
      <c r="H4" s="55" t="s">
        <v>7</v>
      </c>
    </row>
    <row r="5" customFormat="false" ht="45.75" hidden="false" customHeight="true" outlineLevel="0" collapsed="false">
      <c r="A5" s="56"/>
      <c r="B5" s="32" t="s">
        <v>58</v>
      </c>
      <c r="C5" s="57" t="s">
        <v>158</v>
      </c>
      <c r="D5" s="33" t="s">
        <v>159</v>
      </c>
      <c r="E5" s="33" t="s">
        <v>160</v>
      </c>
      <c r="F5" s="34" t="s">
        <v>161</v>
      </c>
      <c r="G5" s="46" t="s">
        <v>62</v>
      </c>
      <c r="H5" s="35" t="s">
        <v>14</v>
      </c>
    </row>
    <row r="6" customFormat="false" ht="45.75" hidden="false" customHeight="true" outlineLevel="0" collapsed="false">
      <c r="A6" s="56"/>
      <c r="B6" s="58" t="s">
        <v>63</v>
      </c>
      <c r="C6" s="59" t="s">
        <v>162</v>
      </c>
      <c r="D6" s="60" t="s">
        <v>163</v>
      </c>
      <c r="E6" s="60" t="s">
        <v>164</v>
      </c>
      <c r="F6" s="61" t="s">
        <v>165</v>
      </c>
      <c r="G6" s="62" t="s">
        <v>62</v>
      </c>
      <c r="H6" s="63" t="s">
        <v>14</v>
      </c>
    </row>
    <row r="7" customFormat="false" ht="45.75" hidden="false" customHeight="true" outlineLevel="0" collapsed="false">
      <c r="A7" s="56"/>
      <c r="B7" s="32" t="s">
        <v>67</v>
      </c>
      <c r="C7" s="57" t="s">
        <v>166</v>
      </c>
      <c r="D7" s="33" t="s">
        <v>167</v>
      </c>
      <c r="E7" s="33" t="s">
        <v>168</v>
      </c>
      <c r="F7" s="34" t="s">
        <v>70</v>
      </c>
      <c r="G7" s="46" t="s">
        <v>62</v>
      </c>
      <c r="H7" s="35" t="s">
        <v>14</v>
      </c>
    </row>
    <row r="8" customFormat="false" ht="45.75" hidden="false" customHeight="true" outlineLevel="0" collapsed="false">
      <c r="A8" s="56"/>
      <c r="B8" s="58" t="s">
        <v>71</v>
      </c>
      <c r="C8" s="59" t="s">
        <v>169</v>
      </c>
      <c r="D8" s="60" t="s">
        <v>170</v>
      </c>
      <c r="E8" s="60" t="s">
        <v>171</v>
      </c>
      <c r="F8" s="61" t="s">
        <v>74</v>
      </c>
      <c r="G8" s="64" t="s">
        <v>15</v>
      </c>
      <c r="H8" s="63" t="s">
        <v>14</v>
      </c>
    </row>
    <row r="9" customFormat="false" ht="45.75" hidden="false" customHeight="true" outlineLevel="0" collapsed="false">
      <c r="A9" s="56"/>
      <c r="B9" s="32" t="s">
        <v>75</v>
      </c>
      <c r="C9" s="57" t="s">
        <v>172</v>
      </c>
      <c r="D9" s="33" t="s">
        <v>173</v>
      </c>
      <c r="E9" s="33" t="s">
        <v>174</v>
      </c>
      <c r="F9" s="34" t="s">
        <v>78</v>
      </c>
      <c r="G9" s="41" t="s">
        <v>15</v>
      </c>
      <c r="H9" s="35" t="s">
        <v>14</v>
      </c>
    </row>
    <row r="10" customFormat="false" ht="45.75" hidden="false" customHeight="true" outlineLevel="0" collapsed="false">
      <c r="A10" s="56"/>
      <c r="B10" s="58" t="s">
        <v>79</v>
      </c>
      <c r="C10" s="59" t="s">
        <v>175</v>
      </c>
      <c r="D10" s="60" t="s">
        <v>176</v>
      </c>
      <c r="E10" s="60" t="s">
        <v>177</v>
      </c>
      <c r="F10" s="61" t="s">
        <v>178</v>
      </c>
      <c r="G10" s="64" t="s">
        <v>15</v>
      </c>
      <c r="H10" s="63" t="s">
        <v>14</v>
      </c>
    </row>
    <row r="11" customFormat="false" ht="45.75" hidden="false" customHeight="true" outlineLevel="0" collapsed="false">
      <c r="A11" s="56"/>
      <c r="B11" s="32" t="s">
        <v>82</v>
      </c>
      <c r="C11" s="57" t="s">
        <v>179</v>
      </c>
      <c r="D11" s="33" t="s">
        <v>180</v>
      </c>
      <c r="E11" s="33" t="s">
        <v>181</v>
      </c>
      <c r="F11" s="34" t="s">
        <v>182</v>
      </c>
      <c r="G11" s="41" t="s">
        <v>15</v>
      </c>
      <c r="H11" s="35" t="s">
        <v>14</v>
      </c>
    </row>
    <row r="12" customFormat="false" ht="45.75" hidden="false" customHeight="true" outlineLevel="0" collapsed="false">
      <c r="A12" s="56"/>
      <c r="B12" s="58" t="s">
        <v>86</v>
      </c>
      <c r="C12" s="59" t="s">
        <v>183</v>
      </c>
      <c r="D12" s="60" t="s">
        <v>184</v>
      </c>
      <c r="E12" s="60" t="s">
        <v>185</v>
      </c>
      <c r="F12" s="61" t="s">
        <v>186</v>
      </c>
      <c r="G12" s="65" t="s">
        <v>26</v>
      </c>
      <c r="H12" s="63" t="s">
        <v>14</v>
      </c>
    </row>
    <row r="13" customFormat="false" ht="45.75" hidden="false" customHeight="true" outlineLevel="0" collapsed="false">
      <c r="A13" s="56"/>
      <c r="B13" s="32" t="s">
        <v>90</v>
      </c>
      <c r="C13" s="57" t="s">
        <v>187</v>
      </c>
      <c r="D13" s="33" t="s">
        <v>188</v>
      </c>
      <c r="E13" s="33" t="s">
        <v>92</v>
      </c>
      <c r="F13" s="34" t="s">
        <v>55</v>
      </c>
      <c r="G13" s="41" t="s">
        <v>15</v>
      </c>
      <c r="H13" s="41" t="s">
        <v>93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20"/>
  </cols>
  <sheetData>
    <row r="2" customFormat="false" ht="31.5" hidden="false" customHeight="true" outlineLevel="0" collapsed="false">
      <c r="B2" s="66" t="s">
        <v>189</v>
      </c>
      <c r="C2" s="66"/>
      <c r="D2" s="66"/>
      <c r="E2" s="66"/>
      <c r="F2" s="66"/>
      <c r="G2" s="66"/>
    </row>
    <row r="4" customFormat="false" ht="24" hidden="false" customHeight="true" outlineLevel="0" collapsed="false">
      <c r="B4" s="67" t="s">
        <v>190</v>
      </c>
      <c r="C4" s="67"/>
      <c r="D4" s="67"/>
      <c r="E4" s="67"/>
      <c r="F4" s="67"/>
      <c r="G4" s="67"/>
    </row>
    <row r="5" customFormat="false" ht="19.5" hidden="false" customHeight="true" outlineLevel="0" collapsed="false">
      <c r="B5" s="68" t="s">
        <v>191</v>
      </c>
      <c r="C5" s="69" t="s">
        <v>192</v>
      </c>
    </row>
    <row r="6" customFormat="false" ht="19.5" hidden="false" customHeight="true" outlineLevel="0" collapsed="false">
      <c r="B6" s="68" t="s">
        <v>193</v>
      </c>
      <c r="C6" s="69" t="s">
        <v>194</v>
      </c>
    </row>
    <row r="8" customFormat="false" ht="24" hidden="false" customHeight="true" outlineLevel="0" collapsed="false">
      <c r="A8" s="70"/>
      <c r="B8" s="70" t="s">
        <v>127</v>
      </c>
      <c r="C8" s="70" t="s">
        <v>195</v>
      </c>
      <c r="D8" s="70" t="s">
        <v>196</v>
      </c>
      <c r="E8" s="70" t="s">
        <v>197</v>
      </c>
      <c r="F8" s="70" t="s">
        <v>198</v>
      </c>
      <c r="G8" s="70" t="s">
        <v>199</v>
      </c>
    </row>
    <row r="9" customFormat="false" ht="21.75" hidden="false" customHeight="true" outlineLevel="0" collapsed="false">
      <c r="A9" s="71"/>
      <c r="B9" s="72" t="s">
        <v>133</v>
      </c>
      <c r="C9" s="16" t="s">
        <v>135</v>
      </c>
      <c r="D9" s="16" t="n">
        <v>2000</v>
      </c>
      <c r="E9" s="16" t="n">
        <v>600</v>
      </c>
      <c r="F9" s="73" t="n">
        <f aca="false">(D9*0.4+E9*1.6)/1000000</f>
        <v>0.00176</v>
      </c>
      <c r="G9" s="16" t="n">
        <v>7</v>
      </c>
    </row>
    <row r="10" customFormat="false" ht="21.75" hidden="false" customHeight="true" outlineLevel="0" collapsed="false">
      <c r="A10" s="71"/>
      <c r="B10" s="74" t="s">
        <v>139</v>
      </c>
      <c r="C10" s="75" t="s">
        <v>140</v>
      </c>
      <c r="D10" s="75" t="n">
        <v>800</v>
      </c>
      <c r="E10" s="75" t="n">
        <v>400</v>
      </c>
      <c r="F10" s="76" t="n">
        <f aca="false">(D10*0.1+E10*0.4)/1000000</f>
        <v>0.00024</v>
      </c>
      <c r="G10" s="75" t="n">
        <v>1</v>
      </c>
    </row>
    <row r="11" customFormat="false" ht="21.75" hidden="false" customHeight="true" outlineLevel="0" collapsed="false">
      <c r="A11" s="71"/>
      <c r="B11" s="72" t="s">
        <v>143</v>
      </c>
      <c r="C11" s="16" t="s">
        <v>135</v>
      </c>
      <c r="D11" s="16" t="n">
        <v>500</v>
      </c>
      <c r="E11" s="16" t="n">
        <v>400</v>
      </c>
      <c r="F11" s="73" t="n">
        <f aca="false">(D11*0.4+E11*1.6)/1000000</f>
        <v>0.00084</v>
      </c>
      <c r="G11" s="16" t="n">
        <v>1</v>
      </c>
    </row>
    <row r="12" customFormat="false" ht="21.75" hidden="false" customHeight="true" outlineLevel="0" collapsed="false">
      <c r="A12" s="71"/>
      <c r="B12" s="74" t="s">
        <v>146</v>
      </c>
      <c r="C12" s="75" t="s">
        <v>140</v>
      </c>
      <c r="D12" s="75" t="n">
        <v>200</v>
      </c>
      <c r="E12" s="75" t="n">
        <v>80</v>
      </c>
      <c r="F12" s="76" t="n">
        <f aca="false">(D12*0.1+E12*0.4)/1000000</f>
        <v>5.2E-005</v>
      </c>
      <c r="G12" s="75" t="n">
        <v>1</v>
      </c>
    </row>
    <row r="13" customFormat="false" ht="27.75" hidden="false" customHeight="true" outlineLevel="0" collapsed="false">
      <c r="B13" s="77" t="s">
        <v>200</v>
      </c>
      <c r="C13" s="77"/>
      <c r="D13" s="77"/>
      <c r="E13" s="77"/>
      <c r="F13" s="78" t="n">
        <f aca="false">SUMPRODUCT(F9:F12,G9:G12)</f>
        <v>0.013452</v>
      </c>
    </row>
    <row r="14" customFormat="false" ht="19.5" hidden="false" customHeight="true" outlineLevel="0" collapsed="false">
      <c r="B14" s="79" t="s">
        <v>201</v>
      </c>
      <c r="C14" s="79"/>
      <c r="D14" s="79"/>
      <c r="E14" s="79"/>
      <c r="F14" s="79"/>
      <c r="G14" s="79"/>
    </row>
    <row r="15" customFormat="false" ht="27.75" hidden="false" customHeight="true" outlineLevel="0" collapsed="false">
      <c r="B15" s="80" t="s">
        <v>202</v>
      </c>
      <c r="C15" s="80"/>
      <c r="D15" s="80"/>
      <c r="E15" s="80"/>
      <c r="F15" s="81" t="n">
        <f aca="false">FLOOR(10/F13,1)</f>
        <v>743</v>
      </c>
    </row>
  </sheetData>
  <mergeCells count="5">
    <mergeCell ref="B2:G2"/>
    <mergeCell ref="B4:G4"/>
    <mergeCell ref="B13:E13"/>
    <mergeCell ref="B14:G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2026-04-25T10:27:52Z</dcterms:created>
  <dc:creator>openpyxl</dc:creator>
  <dc:description/>
  <dc:language>en-US</dc:language>
  <cp:lastModifiedBy/>
  <dcterms:modified xsi:type="dcterms:W3CDTF">2026-04-25T10:28:36Z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